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925" tabRatio="782" firstSheet="0" activeTab="0" autoFilterDateGrouping="1"/>
  </bookViews>
  <sheets>
    <sheet xmlns:r="http://schemas.openxmlformats.org/officeDocument/2006/relationships" name="TOTAL PREORDER" sheetId="1" state="visible" r:id="rId1"/>
    <sheet xmlns:r="http://schemas.openxmlformats.org/officeDocument/2006/relationships" name="DC" sheetId="2" state="hidden" r:id="rId2"/>
    <sheet xmlns:r="http://schemas.openxmlformats.org/officeDocument/2006/relationships" name="SP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ategoryList">[1]Setup!$B$5:$B$16</definedName>
    <definedName name="ColumnTitle2">[1]!CategoryAndEmployeeTable[[#Headers],[Category Name]]</definedName>
    <definedName name="EmployeeList">[1]Setup!$C$5:$C$16</definedName>
    <definedName name="FlagPercent">'[1]Project Tracker Electro'!#REF!</definedName>
    <definedName name="ОКПД2">[2]Технич!$AQ$2:$AQ$29934</definedName>
    <definedName name="Форматы">[3]Тк!$A$2:$A$7</definedName>
    <definedName name="_xlnm._FilterDatabase" localSheetId="0" hidden="1">'TOTAL PREORDER'!$A$11:$ED$13</definedName>
  </definedNames>
  <calcPr calcId="191029" fullCalcOnLoad="1" concurrentManualCount="12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-* #,##0.00_-;\-* #,##0.00_-;_-* &quot;-&quot;??_-;_-@_-"/>
    <numFmt numFmtId="166" formatCode="_-* #,##0.00\ _₽_-;\-* #,##0.00\ _₽_-;_-* &quot;-&quot;??\ _₽_-;_-@_-"/>
    <numFmt numFmtId="167" formatCode="\¥#,##0.00_);[Red]\(\¥#,##0.00\)"/>
    <numFmt numFmtId="168" formatCode="0.0000"/>
    <numFmt numFmtId="169" formatCode="0_ "/>
    <numFmt numFmtId="170" formatCode="[$$-409]#,##0.00_ ;\-[$$-409]#,##0.00\ "/>
    <numFmt numFmtId="171" formatCode="[$$-409]#,##0.0000"/>
    <numFmt numFmtId="172" formatCode="[$$-409]#,##0.00"/>
    <numFmt numFmtId="173" formatCode="0.00_ "/>
    <numFmt numFmtId="174" formatCode="0.000"/>
    <numFmt numFmtId="175" formatCode="_-[$€]\ * #,##0.00_-;_-[$€]\ * #,##0.00\-;_-[$€]\ * &quot;-&quot;??_-;_-@_-"/>
    <numFmt numFmtId="176" formatCode="_-* #,##0.00\ &quot;€&quot;_-;\-* #,##0.00\ &quot;€&quot;_-;_-* &quot;-&quot;??\ &quot;€&quot;_-;_-@_-"/>
    <numFmt numFmtId="177" formatCode="_-* #,##0.00\ _€_-;\-* #,##0.00\ _€_-;_-* &quot;-&quot;??\ _€_-;_-@_-"/>
    <numFmt numFmtId="178" formatCode="_-* #,##0\ _B_F_-;\-* #,##0\ _B_F_-;_-* &quot;-&quot;\ _B_F_-;_-@_-"/>
  </numFmts>
  <fonts count="115">
    <font>
      <name val="Calibri"/>
      <charset val="134"/>
      <color indexed="8"/>
      <sz val="11"/>
    </font>
    <font>
      <name val="Calibri"/>
      <charset val="204"/>
      <b val="1"/>
      <color indexed="8"/>
      <sz val="12"/>
    </font>
    <font>
      <name val="Calibri"/>
      <charset val="204"/>
      <color indexed="8"/>
      <sz val="12"/>
    </font>
    <font>
      <name val="Calibri"/>
      <charset val="204"/>
      <color rgb="FFFF0000"/>
      <sz val="12"/>
    </font>
    <font>
      <name val="Calibri"/>
      <charset val="204"/>
      <b val="1"/>
      <color rgb="FFFF0000"/>
      <sz val="12"/>
    </font>
    <font>
      <name val="Calibri"/>
      <charset val="204"/>
      <sz val="12"/>
    </font>
    <font>
      <name val="Calibri"/>
      <charset val="204"/>
      <b val="1"/>
      <sz val="12"/>
    </font>
    <font>
      <name val="Calibri"/>
      <charset val="204"/>
      <b val="1"/>
      <color theme="1"/>
      <sz val="12"/>
    </font>
    <font>
      <name val="Calibri"/>
      <charset val="204"/>
      <color indexed="8"/>
      <sz val="11"/>
    </font>
    <font>
      <name val="Arial"/>
      <charset val="204"/>
      <color rgb="FFFF0000"/>
      <sz val="11"/>
    </font>
    <font>
      <name val="Arial"/>
      <charset val="204"/>
      <sz val="11"/>
    </font>
    <font>
      <name val="Arial"/>
      <charset val="204"/>
      <color indexed="8"/>
      <sz val="11"/>
    </font>
    <font>
      <name val="Arial"/>
      <charset val="204"/>
      <b val="1"/>
      <color rgb="FFFF0000"/>
      <sz val="11"/>
    </font>
    <font>
      <name val="Arial"/>
      <charset val="204"/>
      <color rgb="FFFF0000"/>
      <sz val="14"/>
    </font>
    <font>
      <name val="Arial"/>
      <charset val="204"/>
      <b val="1"/>
      <sz val="14"/>
    </font>
    <font>
      <name val="Arial"/>
      <charset val="204"/>
      <color rgb="FF7030A0"/>
      <sz val="12"/>
    </font>
    <font>
      <name val="Arial"/>
      <charset val="204"/>
      <color rgb="FFFF0000"/>
      <sz val="12"/>
    </font>
    <font>
      <name val="Arial"/>
      <charset val="204"/>
      <b val="1"/>
      <color rgb="FFFF0000"/>
      <sz val="14"/>
    </font>
    <font>
      <name val="Arial"/>
      <charset val="204"/>
      <color theme="10"/>
      <sz val="11"/>
      <u val="single"/>
    </font>
    <font>
      <name val="Arial"/>
      <charset val="204"/>
      <sz val="14"/>
    </font>
    <font>
      <name val="Arial"/>
      <charset val="204"/>
      <color theme="10"/>
      <sz val="12"/>
      <u val="single"/>
    </font>
    <font>
      <name val="Arial"/>
      <charset val="204"/>
      <sz val="12"/>
    </font>
    <font>
      <name val="Arial"/>
      <charset val="204"/>
      <color indexed="8"/>
      <sz val="14"/>
    </font>
    <font>
      <name val="Arial"/>
      <charset val="204"/>
      <color rgb="FF2B2E33"/>
      <sz val="14"/>
    </font>
    <font>
      <name val="Arial"/>
      <charset val="204"/>
      <b val="1"/>
      <sz val="11"/>
    </font>
    <font>
      <name val="宋体"/>
      <charset val="134"/>
      <color indexed="8"/>
      <sz val="14"/>
      <scheme val="minor"/>
    </font>
    <font>
      <name val="Arial"/>
      <charset val="204"/>
      <color rgb="FF444444"/>
      <sz val="10"/>
    </font>
    <font>
      <name val="宋体"/>
      <charset val="134"/>
      <sz val="14"/>
      <scheme val="minor"/>
    </font>
    <font>
      <name val="宋体"/>
      <charset val="204"/>
      <color rgb="FF000000"/>
      <sz val="11"/>
    </font>
    <font>
      <name val="宋体"/>
      <charset val="204"/>
      <color rgb="FF000000"/>
      <sz val="14"/>
    </font>
    <font>
      <name val="宋体"/>
      <charset val="134"/>
      <b val="1"/>
      <color indexed="8"/>
      <sz val="14"/>
      <scheme val="minor"/>
    </font>
    <font>
      <name val="宋体"/>
      <charset val="134"/>
      <color indexed="8"/>
      <sz val="12"/>
      <scheme val="minor"/>
    </font>
    <font>
      <name val="Arial"/>
      <charset val="204"/>
      <color theme="1"/>
      <sz val="14"/>
    </font>
    <font>
      <name val="宋体"/>
      <charset val="204"/>
      <b val="1"/>
      <sz val="14"/>
    </font>
    <font>
      <name val="宋体"/>
      <charset val="204"/>
      <sz val="14"/>
    </font>
    <font>
      <name val="Arial"/>
      <charset val="204"/>
      <b val="1"/>
      <sz val="12"/>
    </font>
    <font>
      <name val="Arial"/>
      <charset val="204"/>
      <sz val="16"/>
    </font>
    <font>
      <name val="Arial"/>
      <charset val="204"/>
      <b val="1"/>
      <color indexed="8"/>
      <sz val="14"/>
    </font>
    <font>
      <name val="Arial"/>
      <charset val="204"/>
      <color indexed="8"/>
      <sz val="10"/>
    </font>
    <font>
      <name val="Arial"/>
      <charset val="204"/>
      <color rgb="FF000000"/>
      <sz val="10.5"/>
    </font>
    <font>
      <name val="宋体"/>
      <charset val="134"/>
      <color theme="1"/>
      <sz val="11"/>
      <scheme val="minor"/>
    </font>
    <font>
      <name val="Calibri"/>
      <charset val="20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Arial"/>
      <charset val="204"/>
      <sz val="10"/>
    </font>
    <font>
      <name val="宋体"/>
      <charset val="204"/>
      <color theme="1"/>
      <sz val="11"/>
      <scheme val="minor"/>
    </font>
    <font>
      <name val="宋体"/>
      <charset val="204"/>
      <color theme="0"/>
      <sz val="11"/>
      <scheme val="minor"/>
    </font>
    <font>
      <name val="Calibri"/>
      <charset val="204"/>
      <color indexed="9"/>
      <sz val="11"/>
    </font>
    <font>
      <name val="宋体"/>
      <charset val="204"/>
      <b val="1"/>
      <color rgb="FF3F3F3F"/>
      <sz val="11"/>
      <scheme val="minor"/>
    </font>
    <font>
      <name val="宋体"/>
      <charset val="204"/>
      <b val="1"/>
      <color rgb="FFFA7D00"/>
      <sz val="11"/>
      <scheme val="minor"/>
    </font>
    <font>
      <name val="宋体"/>
      <charset val="204"/>
      <color rgb="FF3F3F76"/>
      <sz val="11"/>
      <scheme val="minor"/>
    </font>
    <font>
      <name val="Calibri"/>
      <charset val="204"/>
      <b val="1"/>
      <color indexed="8"/>
      <sz val="11"/>
    </font>
    <font>
      <name val="宋体"/>
      <charset val="204"/>
      <b val="1"/>
      <color theme="1"/>
      <sz val="11"/>
      <scheme val="minor"/>
    </font>
    <font>
      <name val="宋体"/>
      <charset val="204"/>
      <i val="1"/>
      <color rgb="FF7F7F7F"/>
      <sz val="11"/>
      <scheme val="minor"/>
    </font>
    <font>
      <name val="Times New Roman"/>
      <charset val="204"/>
      <sz val="12"/>
    </font>
    <font>
      <name val="宋体"/>
      <charset val="204"/>
      <color rgb="FF006100"/>
      <sz val="11"/>
      <scheme val="minor"/>
    </font>
    <font>
      <name val="宋体"/>
      <charset val="204"/>
      <b val="1"/>
      <color theme="3"/>
      <sz val="11"/>
      <scheme val="minor"/>
    </font>
    <font>
      <name val="Arial"/>
      <charset val="204"/>
      <color theme="10"/>
      <sz val="10"/>
      <u val="single"/>
    </font>
    <font>
      <name val="Arial"/>
      <charset val="204"/>
      <color indexed="12"/>
      <sz val="10"/>
      <u val="single"/>
    </font>
    <font>
      <name val="宋体"/>
      <charset val="204"/>
      <color rgb="FF9C6500"/>
      <sz val="11"/>
      <scheme val="minor"/>
    </font>
    <font>
      <name val="宋体"/>
      <charset val="134"/>
      <color indexed="8"/>
      <sz val="11"/>
    </font>
    <font>
      <name val="新細明體"/>
      <charset val="134"/>
      <sz val="12"/>
    </font>
    <font>
      <name val="Arial"/>
      <charset val="204"/>
      <color indexed="8"/>
      <sz val="8"/>
    </font>
    <font>
      <name val="Arial"/>
      <charset val="204"/>
      <sz val="8"/>
    </font>
    <font>
      <name val="Arial"/>
      <charset val="204"/>
      <color indexed="62"/>
      <sz val="8"/>
    </font>
    <font>
      <name val="Arial"/>
      <charset val="204"/>
      <b val="1"/>
      <color indexed="8"/>
      <sz val="8"/>
    </font>
    <font>
      <name val="Arial"/>
      <charset val="204"/>
      <b val="1"/>
      <sz val="8"/>
    </font>
    <font>
      <name val="Arial"/>
      <charset val="204"/>
      <sz val="19"/>
    </font>
    <font>
      <name val="Arial"/>
      <charset val="204"/>
      <color indexed="14"/>
      <sz val="8"/>
    </font>
    <font>
      <name val="宋体"/>
      <charset val="204"/>
      <color rgb="FF9C0006"/>
      <sz val="11"/>
      <scheme val="minor"/>
    </font>
    <font>
      <name val="Cambria"/>
      <charset val="204"/>
      <b val="1"/>
      <color indexed="62"/>
      <sz val="18"/>
    </font>
    <font>
      <name val="Arial"/>
      <charset val="204"/>
      <color theme="1"/>
      <sz val="10"/>
    </font>
    <font>
      <name val="宋体"/>
      <charset val="134"/>
      <sz val="12"/>
    </font>
    <font>
      <name val="Arial Cyr"/>
      <charset val="204"/>
      <sz val="10"/>
    </font>
    <font>
      <name val="Arial"/>
      <charset val="204"/>
      <color theme="1"/>
      <sz val="11"/>
    </font>
    <font>
      <name val="宋体"/>
      <charset val="204"/>
      <b val="1"/>
      <color theme="3"/>
      <sz val="15"/>
      <scheme val="minor"/>
    </font>
    <font>
      <name val="宋体"/>
      <charset val="204"/>
      <b val="1"/>
      <color theme="3"/>
      <sz val="13"/>
      <scheme val="minor"/>
    </font>
    <font>
      <name val="宋体"/>
      <charset val="204"/>
      <color rgb="FFFA7D00"/>
      <sz val="11"/>
      <scheme val="minor"/>
    </font>
    <font>
      <name val="宋体"/>
      <charset val="204"/>
      <color rgb="FFFF0000"/>
      <sz val="11"/>
      <scheme val="minor"/>
    </font>
    <font>
      <name val="宋体"/>
      <charset val="204"/>
      <b val="1"/>
      <color theme="0"/>
      <sz val="11"/>
      <scheme val="minor"/>
    </font>
    <font>
      <name val="Calibri"/>
      <charset val="204"/>
      <color indexed="48"/>
      <sz val="11"/>
    </font>
    <font>
      <name val="Calibri"/>
      <charset val="204"/>
      <b val="1"/>
      <color indexed="63"/>
      <sz val="11"/>
    </font>
    <font>
      <name val="Calibri"/>
      <charset val="204"/>
      <b val="1"/>
      <color indexed="17"/>
      <sz val="11"/>
    </font>
    <font>
      <name val="Arial Cyr"/>
      <charset val="204"/>
      <color indexed="12"/>
      <sz val="10"/>
      <u val="single"/>
    </font>
    <font>
      <name val="Calibri"/>
      <charset val="204"/>
      <b val="1"/>
      <color indexed="62"/>
      <sz val="15"/>
    </font>
    <font>
      <name val="Calibri"/>
      <charset val="204"/>
      <b val="1"/>
      <color indexed="62"/>
      <sz val="13"/>
    </font>
    <font>
      <name val="Calibri"/>
      <charset val="204"/>
      <b val="1"/>
      <color indexed="62"/>
      <sz val="11"/>
    </font>
    <font>
      <name val="Calibri"/>
      <charset val="204"/>
      <b val="1"/>
      <color indexed="9"/>
      <sz val="11"/>
    </font>
    <font>
      <name val="Calibri"/>
      <charset val="204"/>
      <color indexed="17"/>
      <sz val="11"/>
    </font>
    <font>
      <name val="宋体"/>
      <charset val="204"/>
      <color theme="3" tint="-0.499984740745262"/>
      <sz val="11"/>
      <scheme val="minor"/>
    </font>
    <font>
      <name val="MS PGothic"/>
      <charset val="204"/>
      <color indexed="8"/>
      <sz val="11"/>
    </font>
    <font>
      <name val="Sans EE"/>
      <charset val="238"/>
      <sz val="8"/>
    </font>
    <font>
      <name val="Calibri"/>
      <charset val="204"/>
      <color indexed="37"/>
      <sz val="11"/>
    </font>
    <font>
      <name val="Calibri"/>
      <charset val="204"/>
      <color indexed="14"/>
      <sz val="11"/>
    </font>
    <font>
      <name val="Arial"/>
      <charset val="204"/>
      <color rgb="FF000000"/>
      <sz val="14"/>
    </font>
    <font>
      <name val="Arial"/>
      <charset val="204"/>
      <color rgb="FF000000"/>
      <sz val="11"/>
    </font>
    <font>
      <name val="Tahoma"/>
      <charset val="204"/>
      <b val="1"/>
      <sz val="9"/>
    </font>
    <font>
      <name val="Tahoma"/>
      <charset val="204"/>
      <sz val="9"/>
    </font>
  </fonts>
  <fills count="11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4" tint="0.399700918607135"/>
        <bgColor indexed="64"/>
      </patternFill>
    </fill>
    <fill>
      <patternFill patternType="solid">
        <fgColor theme="5" tint="0.399731437116611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6" tint="0.399731437116611"/>
        <bgColor indexed="64"/>
      </patternFill>
    </fill>
    <fill>
      <patternFill patternType="solid">
        <fgColor theme="6" tint="0.399700918607135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7" tint="0.399700918607135"/>
        <bgColor indexed="64"/>
      </patternFill>
    </fill>
    <fill>
      <patternFill patternType="solid">
        <fgColor theme="8" tint="0.399731437116611"/>
        <bgColor indexed="64"/>
      </patternFill>
    </fill>
    <fill>
      <patternFill patternType="solid">
        <fgColor theme="8" tint="0.399700918607135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19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3143711661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61">
    <xf numFmtId="0" fontId="0" fillId="0" borderId="0" applyAlignment="1">
      <alignment vertical="center"/>
    </xf>
    <xf numFmtId="165" fontId="8" fillId="0" borderId="0"/>
    <xf numFmtId="44" fontId="40" fillId="0" borderId="0" applyAlignment="1">
      <alignment vertical="center"/>
    </xf>
    <xf numFmtId="9" fontId="8" fillId="0" borderId="0"/>
    <xf numFmtId="41" fontId="40" fillId="0" borderId="0" applyAlignment="1">
      <alignment vertical="center"/>
    </xf>
    <xf numFmtId="42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0" fillId="10" borderId="35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46" fillId="0" borderId="36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8" fillId="0" borderId="0" applyAlignment="1">
      <alignment vertical="center"/>
    </xf>
    <xf numFmtId="0" fontId="49" fillId="11" borderId="38" applyAlignment="1">
      <alignment vertical="center"/>
    </xf>
    <xf numFmtId="0" fontId="50" fillId="12" borderId="39" applyAlignment="1">
      <alignment vertical="center"/>
    </xf>
    <xf numFmtId="0" fontId="51" fillId="12" borderId="38" applyAlignment="1">
      <alignment vertical="center"/>
    </xf>
    <xf numFmtId="0" fontId="52" fillId="13" borderId="40" applyAlignment="1">
      <alignment vertical="center"/>
    </xf>
    <xf numFmtId="0" fontId="53" fillId="0" borderId="41" applyAlignment="1">
      <alignment vertical="center"/>
    </xf>
    <xf numFmtId="0" fontId="54" fillId="0" borderId="42" applyAlignment="1">
      <alignment vertical="center"/>
    </xf>
    <xf numFmtId="0" fontId="55" fillId="14" borderId="0" applyAlignment="1">
      <alignment vertical="center"/>
    </xf>
    <xf numFmtId="0" fontId="56" fillId="15" borderId="0" applyAlignment="1">
      <alignment vertical="center"/>
    </xf>
    <xf numFmtId="0" fontId="57" fillId="16" borderId="0" applyAlignment="1">
      <alignment vertical="center"/>
    </xf>
    <xf numFmtId="0" fontId="58" fillId="17" borderId="0" applyAlignment="1">
      <alignment vertical="center"/>
    </xf>
    <xf numFmtId="0" fontId="59" fillId="18" borderId="0" applyAlignment="1">
      <alignment vertical="center"/>
    </xf>
    <xf numFmtId="0" fontId="59" fillId="19" borderId="0" applyAlignment="1">
      <alignment vertical="center"/>
    </xf>
    <xf numFmtId="0" fontId="58" fillId="20" borderId="0" applyAlignment="1">
      <alignment vertical="center"/>
    </xf>
    <xf numFmtId="0" fontId="58" fillId="21" borderId="0" applyAlignment="1">
      <alignment vertical="center"/>
    </xf>
    <xf numFmtId="0" fontId="59" fillId="22" borderId="0" applyAlignment="1">
      <alignment vertical="center"/>
    </xf>
    <xf numFmtId="0" fontId="59" fillId="23" borderId="0" applyAlignment="1">
      <alignment vertical="center"/>
    </xf>
    <xf numFmtId="0" fontId="58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59" fillId="27" borderId="0" applyAlignment="1">
      <alignment vertical="center"/>
    </xf>
    <xf numFmtId="0" fontId="58" fillId="28" borderId="0" applyAlignment="1">
      <alignment vertical="center"/>
    </xf>
    <xf numFmtId="0" fontId="58" fillId="29" borderId="0" applyAlignment="1">
      <alignment vertical="center"/>
    </xf>
    <xf numFmtId="0" fontId="59" fillId="30" borderId="0" applyAlignment="1">
      <alignment vertical="center"/>
    </xf>
    <xf numFmtId="0" fontId="59" fillId="31" borderId="0" applyAlignment="1">
      <alignment vertical="center"/>
    </xf>
    <xf numFmtId="0" fontId="58" fillId="32" borderId="0" applyAlignment="1">
      <alignment vertical="center"/>
    </xf>
    <xf numFmtId="0" fontId="58" fillId="33" borderId="0" applyAlignment="1">
      <alignment vertical="center"/>
    </xf>
    <xf numFmtId="0" fontId="59" fillId="34" borderId="0" applyAlignment="1">
      <alignment vertical="center"/>
    </xf>
    <xf numFmtId="0" fontId="59" fillId="35" borderId="0" applyAlignment="1">
      <alignment vertical="center"/>
    </xf>
    <xf numFmtId="0" fontId="58" fillId="36" borderId="0" applyAlignment="1">
      <alignment vertical="center"/>
    </xf>
    <xf numFmtId="0" fontId="58" fillId="37" borderId="0" applyAlignment="1">
      <alignment vertical="center"/>
    </xf>
    <xf numFmtId="0" fontId="59" fillId="2" borderId="0" applyAlignment="1">
      <alignment vertical="center"/>
    </xf>
    <xf numFmtId="0" fontId="59" fillId="7" borderId="0" applyAlignment="1">
      <alignment vertical="center"/>
    </xf>
    <xf numFmtId="0" fontId="58" fillId="38" borderId="0" applyAlignment="1">
      <alignment vertical="center"/>
    </xf>
    <xf numFmtId="170" fontId="60" fillId="0" borderId="0"/>
    <xf numFmtId="0" fontId="61" fillId="0" borderId="0"/>
    <xf numFmtId="0" fontId="62" fillId="39" borderId="0"/>
    <xf numFmtId="0" fontId="62" fillId="40" borderId="0"/>
    <xf numFmtId="0" fontId="62" fillId="41" borderId="0"/>
    <xf numFmtId="0" fontId="62" fillId="42" borderId="0"/>
    <xf numFmtId="0" fontId="62" fillId="43" borderId="0"/>
    <xf numFmtId="0" fontId="62" fillId="44" borderId="0"/>
    <xf numFmtId="0" fontId="62" fillId="45" borderId="0"/>
    <xf numFmtId="0" fontId="62" fillId="46" borderId="0"/>
    <xf numFmtId="0" fontId="62" fillId="47" borderId="0"/>
    <xf numFmtId="0" fontId="62" fillId="48" borderId="0"/>
    <xf numFmtId="0" fontId="62" fillId="49" borderId="0"/>
    <xf numFmtId="0" fontId="62" fillId="50" borderId="0"/>
    <xf numFmtId="0" fontId="8" fillId="51" borderId="0" applyAlignment="1">
      <alignment vertical="center"/>
    </xf>
    <xf numFmtId="0" fontId="8" fillId="52" borderId="0" applyAlignment="1">
      <alignment vertical="center"/>
    </xf>
    <xf numFmtId="0" fontId="8" fillId="53" borderId="0" applyAlignment="1">
      <alignment vertical="center"/>
    </xf>
    <xf numFmtId="0" fontId="8" fillId="54" borderId="0" applyAlignment="1">
      <alignment vertical="center"/>
    </xf>
    <xf numFmtId="0" fontId="62" fillId="19" borderId="0"/>
    <xf numFmtId="0" fontId="62" fillId="23" borderId="0"/>
    <xf numFmtId="0" fontId="62" fillId="27" borderId="0"/>
    <xf numFmtId="0" fontId="62" fillId="31" borderId="0"/>
    <xf numFmtId="0" fontId="62" fillId="35" borderId="0"/>
    <xf numFmtId="0" fontId="62" fillId="7" borderId="0"/>
    <xf numFmtId="0" fontId="8" fillId="55" borderId="0" applyAlignment="1">
      <alignment vertical="center"/>
    </xf>
    <xf numFmtId="0" fontId="8" fillId="56" borderId="0" applyAlignment="1">
      <alignment vertical="center"/>
    </xf>
    <xf numFmtId="0" fontId="8" fillId="57" borderId="0" applyAlignment="1">
      <alignment vertical="center"/>
    </xf>
    <xf numFmtId="0" fontId="8" fillId="58" borderId="0" applyAlignment="1">
      <alignment vertical="center"/>
    </xf>
    <xf numFmtId="0" fontId="63" fillId="59" borderId="0"/>
    <xf numFmtId="0" fontId="63" fillId="60" borderId="0"/>
    <xf numFmtId="0" fontId="63" fillId="61" borderId="0"/>
    <xf numFmtId="0" fontId="63" fillId="62" borderId="0"/>
    <xf numFmtId="0" fontId="63" fillId="63" borderId="0"/>
    <xf numFmtId="0" fontId="63" fillId="64" borderId="0"/>
    <xf numFmtId="0" fontId="63" fillId="65" borderId="0"/>
    <xf numFmtId="0" fontId="63" fillId="66" borderId="0"/>
    <xf numFmtId="0" fontId="63" fillId="67" borderId="0"/>
    <xf numFmtId="0" fontId="63" fillId="68" borderId="0"/>
    <xf numFmtId="0" fontId="63" fillId="69" borderId="0"/>
    <xf numFmtId="0" fontId="63" fillId="70" borderId="0"/>
    <xf numFmtId="0" fontId="64" fillId="71" borderId="0" applyAlignment="1">
      <alignment vertical="center"/>
    </xf>
    <xf numFmtId="0" fontId="64" fillId="56" borderId="0" applyAlignment="1">
      <alignment vertical="center"/>
    </xf>
    <xf numFmtId="0" fontId="64" fillId="57" borderId="0" applyAlignment="1">
      <alignment vertical="center"/>
    </xf>
    <xf numFmtId="0" fontId="64" fillId="55" borderId="0" applyAlignment="1">
      <alignment vertical="center"/>
    </xf>
    <xf numFmtId="0" fontId="64" fillId="52" borderId="0" applyAlignment="1">
      <alignment vertical="center"/>
    </xf>
    <xf numFmtId="0" fontId="8" fillId="72" borderId="0" applyAlignment="1">
      <alignment vertical="center"/>
    </xf>
    <xf numFmtId="0" fontId="8" fillId="73" borderId="0" applyAlignment="1">
      <alignment vertical="center"/>
    </xf>
    <xf numFmtId="0" fontId="64" fillId="74" borderId="0" applyAlignment="1">
      <alignment vertical="center"/>
    </xf>
    <xf numFmtId="0" fontId="8" fillId="75" borderId="0" applyAlignment="1">
      <alignment vertical="center"/>
    </xf>
    <xf numFmtId="0" fontId="8" fillId="76" borderId="0" applyAlignment="1">
      <alignment vertical="center"/>
    </xf>
    <xf numFmtId="0" fontId="64" fillId="77" borderId="0" applyAlignment="1">
      <alignment vertical="center"/>
    </xf>
    <xf numFmtId="0" fontId="8" fillId="78" borderId="0" applyAlignment="1">
      <alignment vertical="center"/>
    </xf>
    <xf numFmtId="0" fontId="8" fillId="79" borderId="0" applyAlignment="1">
      <alignment vertical="center"/>
    </xf>
    <xf numFmtId="0" fontId="64" fillId="80" borderId="0" applyAlignment="1">
      <alignment vertical="center"/>
    </xf>
    <xf numFmtId="0" fontId="8" fillId="81" borderId="0" applyAlignment="1">
      <alignment vertical="center"/>
    </xf>
    <xf numFmtId="0" fontId="64" fillId="76" borderId="0" applyAlignment="1">
      <alignment vertical="center"/>
    </xf>
    <xf numFmtId="0" fontId="8" fillId="82" borderId="0" applyAlignment="1">
      <alignment vertical="center"/>
    </xf>
    <xf numFmtId="0" fontId="8" fillId="83" borderId="0" applyAlignment="1">
      <alignment vertical="center"/>
    </xf>
    <xf numFmtId="0" fontId="8" fillId="84" borderId="0" applyAlignment="1">
      <alignment vertical="center"/>
    </xf>
    <xf numFmtId="0" fontId="8" fillId="85" borderId="0" applyAlignment="1">
      <alignment vertical="center"/>
    </xf>
    <xf numFmtId="0" fontId="64" fillId="86" borderId="0" applyAlignment="1">
      <alignment vertical="center"/>
    </xf>
    <xf numFmtId="0" fontId="63" fillId="17" borderId="0"/>
    <xf numFmtId="0" fontId="63" fillId="21" borderId="0"/>
    <xf numFmtId="0" fontId="63" fillId="25" borderId="0"/>
    <xf numFmtId="0" fontId="63" fillId="29" borderId="0"/>
    <xf numFmtId="0" fontId="63" fillId="33" borderId="0"/>
    <xf numFmtId="0" fontId="63" fillId="37" borderId="0"/>
    <xf numFmtId="0" fontId="65" fillId="12" borderId="39"/>
    <xf numFmtId="0" fontId="66" fillId="12" borderId="38"/>
    <xf numFmtId="0" fontId="67" fillId="11" borderId="38"/>
    <xf numFmtId="0" fontId="68" fillId="87" borderId="0" applyAlignment="1">
      <alignment vertical="center"/>
    </xf>
    <xf numFmtId="0" fontId="68" fillId="88" borderId="0" applyAlignment="1">
      <alignment vertical="center"/>
    </xf>
    <xf numFmtId="0" fontId="68" fillId="89" borderId="0" applyAlignment="1">
      <alignment vertical="center"/>
    </xf>
    <xf numFmtId="0" fontId="69" fillId="0" borderId="42"/>
    <xf numFmtId="0" fontId="70" fillId="0" borderId="0"/>
    <xf numFmtId="175" fontId="71" fillId="0" borderId="0"/>
    <xf numFmtId="0" fontId="61" fillId="0" borderId="0"/>
    <xf numFmtId="176" fontId="61" fillId="0" borderId="0"/>
    <xf numFmtId="0" fontId="72" fillId="14" borderId="0"/>
    <xf numFmtId="0" fontId="73" fillId="0" borderId="43"/>
    <xf numFmtId="0" fontId="74" fillId="0" borderId="0"/>
    <xf numFmtId="0" fontId="75" fillId="0" borderId="0" applyAlignment="1" applyProtection="1">
      <alignment vertical="top"/>
      <protection locked="0" hidden="0"/>
    </xf>
    <xf numFmtId="177" fontId="61" fillId="0" borderId="0"/>
    <xf numFmtId="0" fontId="76" fillId="16" borderId="0"/>
    <xf numFmtId="0" fontId="61" fillId="0" borderId="0"/>
    <xf numFmtId="0" fontId="77" fillId="0" borderId="0"/>
    <xf numFmtId="1" fontId="78" fillId="0" borderId="0"/>
    <xf numFmtId="0" fontId="62" fillId="0" borderId="0"/>
    <xf numFmtId="0" fontId="62" fillId="10" borderId="35"/>
    <xf numFmtId="9" fontId="38" fillId="0" borderId="0"/>
    <xf numFmtId="9" fontId="62" fillId="0" borderId="0"/>
    <xf numFmtId="9" fontId="61" fillId="0" borderId="0"/>
    <xf numFmtId="9" fontId="11" fillId="0" borderId="0"/>
    <xf numFmtId="0" fontId="79" fillId="51" borderId="0" applyAlignment="1">
      <alignment horizontal="left" vertical="center"/>
    </xf>
    <xf numFmtId="4" fontId="80" fillId="57" borderId="44" applyAlignment="1">
      <alignment vertical="center"/>
    </xf>
    <xf numFmtId="4" fontId="81" fillId="57" borderId="44" applyAlignment="1">
      <alignment vertical="center"/>
    </xf>
    <xf numFmtId="4" fontId="80" fillId="57" borderId="44" applyAlignment="1">
      <alignment horizontal="left" vertical="center" indent="1"/>
    </xf>
    <xf numFmtId="0" fontId="82" fillId="57" borderId="45" applyAlignment="1">
      <alignment horizontal="left" vertical="top" indent="1"/>
    </xf>
    <xf numFmtId="4" fontId="80" fillId="71" borderId="44" applyAlignment="1">
      <alignment horizontal="left" vertical="center" indent="1"/>
    </xf>
    <xf numFmtId="4" fontId="80" fillId="90" borderId="44" applyAlignment="1">
      <alignment horizontal="right" vertical="center"/>
    </xf>
    <xf numFmtId="4" fontId="80" fillId="91" borderId="44" applyAlignment="1">
      <alignment horizontal="right" vertical="center"/>
    </xf>
    <xf numFmtId="4" fontId="80" fillId="92" borderId="46" applyAlignment="1">
      <alignment horizontal="right" vertical="center"/>
    </xf>
    <xf numFmtId="4" fontId="80" fillId="93" borderId="44" applyAlignment="1">
      <alignment horizontal="right" vertical="center"/>
    </xf>
    <xf numFmtId="4" fontId="80" fillId="94" borderId="44" applyAlignment="1">
      <alignment horizontal="right" vertical="center"/>
    </xf>
    <xf numFmtId="4" fontId="80" fillId="95" borderId="44" applyAlignment="1">
      <alignment horizontal="right" vertical="center"/>
    </xf>
    <xf numFmtId="4" fontId="80" fillId="96" borderId="44" applyAlignment="1">
      <alignment horizontal="right" vertical="center"/>
    </xf>
    <xf numFmtId="4" fontId="80" fillId="97" borderId="44" applyAlignment="1">
      <alignment horizontal="right" vertical="center"/>
    </xf>
    <xf numFmtId="4" fontId="80" fillId="98" borderId="44" applyAlignment="1">
      <alignment horizontal="right" vertical="center"/>
    </xf>
    <xf numFmtId="4" fontId="80" fillId="99" borderId="46" applyAlignment="1">
      <alignment horizontal="left" vertical="center" indent="1"/>
    </xf>
    <xf numFmtId="4" fontId="61" fillId="100" borderId="46" applyAlignment="1">
      <alignment horizontal="left" vertical="center" indent="1"/>
    </xf>
    <xf numFmtId="4" fontId="80" fillId="101" borderId="44" applyAlignment="1">
      <alignment horizontal="right" vertical="center"/>
    </xf>
    <xf numFmtId="4" fontId="80" fillId="102" borderId="46" applyAlignment="1">
      <alignment horizontal="left" vertical="center" indent="1"/>
    </xf>
    <xf numFmtId="4" fontId="80" fillId="101" borderId="46" applyAlignment="1">
      <alignment horizontal="left" vertical="center" indent="1"/>
    </xf>
    <xf numFmtId="0" fontId="80" fillId="55" borderId="44" applyAlignment="1">
      <alignment horizontal="left" vertical="center" indent="1"/>
    </xf>
    <xf numFmtId="0" fontId="80" fillId="100" borderId="45" applyAlignment="1">
      <alignment horizontal="left" vertical="top" indent="1"/>
    </xf>
    <xf numFmtId="0" fontId="80" fillId="103" borderId="44" applyAlignment="1">
      <alignment horizontal="left" vertical="center" indent="1"/>
    </xf>
    <xf numFmtId="0" fontId="80" fillId="101" borderId="45" applyAlignment="1">
      <alignment horizontal="left" vertical="top" indent="1"/>
    </xf>
    <xf numFmtId="0" fontId="80" fillId="58" borderId="44" applyAlignment="1">
      <alignment horizontal="left" vertical="center" indent="1"/>
    </xf>
    <xf numFmtId="0" fontId="80" fillId="58" borderId="45" applyAlignment="1">
      <alignment horizontal="left" vertical="top" indent="1"/>
    </xf>
    <xf numFmtId="0" fontId="80" fillId="102" borderId="44" applyAlignment="1">
      <alignment horizontal="left" vertical="center" indent="1"/>
    </xf>
    <xf numFmtId="0" fontId="80" fillId="102" borderId="45" applyAlignment="1">
      <alignment horizontal="left" vertical="top" indent="1"/>
    </xf>
    <xf numFmtId="0" fontId="80" fillId="51" borderId="47" applyAlignment="1" applyProtection="1">
      <alignment vertical="center"/>
      <protection locked="0" hidden="0"/>
    </xf>
    <xf numFmtId="0" fontId="80" fillId="51" borderId="47" applyProtection="1">
      <protection locked="0" hidden="0"/>
    </xf>
    <xf numFmtId="0" fontId="83" fillId="100" borderId="48" applyAlignment="1">
      <alignment vertical="center"/>
    </xf>
    <xf numFmtId="4" fontId="79" fillId="53" borderId="45" applyAlignment="1">
      <alignment vertical="center"/>
    </xf>
    <xf numFmtId="4" fontId="81" fillId="53" borderId="1" applyAlignment="1">
      <alignment vertical="center"/>
    </xf>
    <xf numFmtId="4" fontId="79" fillId="55" borderId="45" applyAlignment="1">
      <alignment horizontal="left" vertical="center" indent="1"/>
    </xf>
    <xf numFmtId="0" fontId="79" fillId="53" borderId="45" applyAlignment="1">
      <alignment horizontal="left" vertical="top" indent="1"/>
    </xf>
    <xf numFmtId="4" fontId="80" fillId="0" borderId="44" applyAlignment="1">
      <alignment horizontal="right" vertical="center"/>
    </xf>
    <xf numFmtId="4" fontId="81" fillId="51" borderId="44" applyAlignment="1">
      <alignment horizontal="right" vertical="center"/>
    </xf>
    <xf numFmtId="0" fontId="79" fillId="101" borderId="45" applyAlignment="1">
      <alignment horizontal="left" vertical="top" indent="1"/>
    </xf>
    <xf numFmtId="4" fontId="84" fillId="104" borderId="46" applyAlignment="1">
      <alignment horizontal="left" vertical="center" indent="1"/>
    </xf>
    <xf numFmtId="0" fontId="80" fillId="105" borderId="1" applyAlignment="1">
      <alignment vertical="center"/>
    </xf>
    <xf numFmtId="0" fontId="80" fillId="105" borderId="1"/>
    <xf numFmtId="4" fontId="85" fillId="51" borderId="44" applyAlignment="1">
      <alignment horizontal="right" vertical="center"/>
    </xf>
    <xf numFmtId="0" fontId="86" fillId="15" borderId="0"/>
    <xf numFmtId="0" fontId="87" fillId="0" borderId="0" applyAlignment="1">
      <alignment vertical="center"/>
    </xf>
    <xf numFmtId="0" fontId="87" fillId="0" borderId="0"/>
    <xf numFmtId="0" fontId="38" fillId="0" borderId="0"/>
    <xf numFmtId="0" fontId="88" fillId="0" borderId="0"/>
    <xf numFmtId="0" fontId="89" fillId="0" borderId="0"/>
    <xf numFmtId="0" fontId="71" fillId="0" borderId="0"/>
    <xf numFmtId="0" fontId="90" fillId="0" borderId="0"/>
    <xf numFmtId="0" fontId="91" fillId="0" borderId="0"/>
    <xf numFmtId="0" fontId="92" fillId="0" borderId="49"/>
    <xf numFmtId="0" fontId="93" fillId="0" borderId="50"/>
    <xf numFmtId="0" fontId="73" fillId="0" borderId="51"/>
    <xf numFmtId="0" fontId="73" fillId="0" borderId="0"/>
    <xf numFmtId="0" fontId="94" fillId="0" borderId="41"/>
    <xf numFmtId="176" fontId="8" fillId="0" borderId="0"/>
    <xf numFmtId="0" fontId="95" fillId="0" borderId="0"/>
    <xf numFmtId="0" fontId="96" fillId="13" borderId="40"/>
    <xf numFmtId="0" fontId="64" fillId="106" borderId="0" applyAlignment="1">
      <alignment vertical="center"/>
    </xf>
    <xf numFmtId="0" fontId="64" fillId="107" borderId="0" applyAlignment="1">
      <alignment vertical="center"/>
    </xf>
    <xf numFmtId="0" fontId="64" fillId="108" borderId="0" applyAlignment="1">
      <alignment vertical="center"/>
    </xf>
    <xf numFmtId="0" fontId="64" fillId="109" borderId="0" applyAlignment="1">
      <alignment vertical="center"/>
    </xf>
    <xf numFmtId="0" fontId="64" fillId="110" borderId="0" applyAlignment="1">
      <alignment vertical="center"/>
    </xf>
    <xf numFmtId="0" fontId="64" fillId="100" borderId="0" applyAlignment="1">
      <alignment vertical="center"/>
    </xf>
    <xf numFmtId="0" fontId="64" fillId="111" borderId="0" applyAlignment="1">
      <alignment vertical="center"/>
    </xf>
    <xf numFmtId="0" fontId="64" fillId="95" borderId="0" applyAlignment="1">
      <alignment vertical="center"/>
    </xf>
    <xf numFmtId="0" fontId="97" fillId="85" borderId="44" applyAlignment="1">
      <alignment vertical="center"/>
    </xf>
    <xf numFmtId="0" fontId="98" fillId="112" borderId="52" applyAlignment="1">
      <alignment vertical="center"/>
    </xf>
    <xf numFmtId="0" fontId="98" fillId="51" borderId="52" applyAlignment="1">
      <alignment vertical="center"/>
    </xf>
    <xf numFmtId="0" fontId="99" fillId="112" borderId="44" applyAlignment="1">
      <alignment vertical="center"/>
    </xf>
    <xf numFmtId="0" fontId="100" fillId="0" borderId="0" applyAlignment="1" applyProtection="1">
      <alignment vertical="top"/>
      <protection locked="0" hidden="0"/>
    </xf>
    <xf numFmtId="0" fontId="101" fillId="0" borderId="53" applyAlignment="1">
      <alignment vertical="center"/>
    </xf>
    <xf numFmtId="0" fontId="101" fillId="0" borderId="54" applyAlignment="1">
      <alignment vertical="center"/>
    </xf>
    <xf numFmtId="0" fontId="102" fillId="0" borderId="55" applyAlignment="1">
      <alignment vertical="center"/>
    </xf>
    <xf numFmtId="0" fontId="102" fillId="0" borderId="56" applyAlignment="1">
      <alignment vertical="center"/>
    </xf>
    <xf numFmtId="0" fontId="103" fillId="0" borderId="57" applyAlignment="1">
      <alignment vertical="center"/>
    </xf>
    <xf numFmtId="0" fontId="103" fillId="0" borderId="58" applyAlignment="1">
      <alignment vertical="center"/>
    </xf>
    <xf numFmtId="0" fontId="103" fillId="0" borderId="0" applyAlignment="1">
      <alignment vertical="center"/>
    </xf>
    <xf numFmtId="0" fontId="68" fillId="0" borderId="59" applyAlignment="1">
      <alignment vertical="center"/>
    </xf>
    <xf numFmtId="0" fontId="68" fillId="0" borderId="60" applyAlignment="1">
      <alignment vertical="center"/>
    </xf>
    <xf numFmtId="0" fontId="104" fillId="110" borderId="61" applyAlignment="1">
      <alignment vertical="center"/>
    </xf>
    <xf numFmtId="0" fontId="104" fillId="113" borderId="61" applyAlignment="1">
      <alignment vertical="center"/>
    </xf>
    <xf numFmtId="0" fontId="105" fillId="85" borderId="0" applyAlignment="1">
      <alignment vertical="center"/>
    </xf>
    <xf numFmtId="170" fontId="8" fillId="0" borderId="0"/>
    <xf numFmtId="0" fontId="40" fillId="0" borderId="0"/>
    <xf numFmtId="0" fontId="106" fillId="0" borderId="0" applyAlignment="1">
      <alignment vertical="center"/>
    </xf>
    <xf numFmtId="0" fontId="89" fillId="0" borderId="0" applyAlignment="1">
      <alignment vertical="center"/>
    </xf>
    <xf numFmtId="0" fontId="8" fillId="0" borderId="0"/>
    <xf numFmtId="0" fontId="107" fillId="0" borderId="0" applyAlignment="1">
      <alignment vertical="center"/>
    </xf>
    <xf numFmtId="1" fontId="90" fillId="0" borderId="0"/>
    <xf numFmtId="178" fontId="61" fillId="0" borderId="0"/>
    <xf numFmtId="0" fontId="80" fillId="114" borderId="0" applyAlignment="1">
      <alignment vertical="center"/>
    </xf>
    <xf numFmtId="0" fontId="80" fillId="114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90" fillId="0" borderId="0" applyAlignment="1">
      <alignment vertical="center"/>
    </xf>
    <xf numFmtId="1" fontId="108" fillId="0" borderId="0" applyAlignment="1">
      <alignment vertical="center"/>
    </xf>
    <xf numFmtId="0" fontId="109" fillId="84" borderId="0" applyAlignment="1">
      <alignment vertical="center"/>
    </xf>
    <xf numFmtId="0" fontId="110" fillId="90" borderId="0" applyAlignment="1">
      <alignment vertical="center"/>
    </xf>
    <xf numFmtId="0" fontId="80" fillId="84" borderId="44" applyAlignment="1">
      <alignment vertical="center"/>
    </xf>
    <xf numFmtId="0" fontId="80" fillId="53" borderId="44" applyAlignment="1">
      <alignment vertical="center"/>
    </xf>
    <xf numFmtId="0" fontId="80" fillId="84" borderId="44"/>
    <xf numFmtId="0" fontId="90" fillId="53" borderId="62" applyAlignment="1">
      <alignment vertical="center"/>
    </xf>
    <xf numFmtId="9" fontId="8" fillId="0" borderId="0" applyAlignment="1">
      <alignment vertical="center"/>
    </xf>
    <xf numFmtId="0" fontId="105" fillId="0" borderId="63" applyAlignment="1">
      <alignment vertical="center"/>
    </xf>
    <xf numFmtId="0" fontId="110" fillId="0" borderId="0" applyAlignment="1">
      <alignment vertical="center"/>
    </xf>
    <xf numFmtId="43" fontId="90" fillId="0" borderId="0"/>
    <xf numFmtId="43" fontId="8" fillId="0" borderId="0" applyAlignment="1">
      <alignment vertical="center"/>
    </xf>
    <xf numFmtId="165" fontId="8" fillId="0" borderId="0" applyAlignment="1">
      <alignment vertical="center"/>
    </xf>
    <xf numFmtId="165" fontId="90" fillId="0" borderId="0"/>
    <xf numFmtId="165" fontId="62" fillId="0" borderId="0"/>
    <xf numFmtId="43" fontId="8" fillId="0" borderId="0"/>
    <xf numFmtId="0" fontId="105" fillId="115" borderId="0" applyAlignment="1">
      <alignment vertical="center"/>
    </xf>
    <xf numFmtId="0" fontId="89" fillId="0" borderId="0" applyAlignment="1">
      <alignment vertical="center"/>
    </xf>
    <xf numFmtId="0" fontId="77" fillId="0" borderId="0" applyAlignment="1">
      <alignment vertical="center"/>
    </xf>
    <xf numFmtId="0" fontId="62" fillId="0" borderId="0" applyAlignment="1">
      <alignment vertical="center"/>
    </xf>
    <xf numFmtId="0" fontId="40" fillId="0" borderId="0" applyAlignment="1">
      <alignment vertical="center"/>
    </xf>
    <xf numFmtId="0" fontId="60" fillId="0" borderId="0"/>
  </cellStyleXfs>
  <cellXfs count="2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13" applyAlignment="1" pivotButton="0" quotePrefix="0" xfId="230">
      <alignment horizontal="center" vertical="center" wrapText="1"/>
    </xf>
    <xf numFmtId="0" fontId="6" fillId="4" borderId="14" applyAlignment="1" pivotButton="0" quotePrefix="0" xfId="230">
      <alignment horizontal="center" vertical="center" wrapText="1"/>
    </xf>
    <xf numFmtId="0" fontId="6" fillId="4" borderId="15" applyAlignment="1" pivotButton="0" quotePrefix="0" xfId="230">
      <alignment horizontal="center" vertical="center" wrapText="1"/>
    </xf>
    <xf numFmtId="0" fontId="6" fillId="4" borderId="16" applyAlignment="1" pivotButton="0" quotePrefix="0" xfId="230">
      <alignment horizontal="center" vertical="center" wrapText="1"/>
    </xf>
    <xf numFmtId="0" fontId="6" fillId="4" borderId="17" applyAlignment="1" pivotButton="0" quotePrefix="0" xfId="230">
      <alignment horizontal="center" vertical="center" wrapText="1"/>
    </xf>
    <xf numFmtId="0" fontId="7" fillId="4" borderId="17" applyAlignment="1" pivotButton="0" quotePrefix="0" xfId="230">
      <alignment horizontal="center" vertical="center"/>
    </xf>
    <xf numFmtId="0" fontId="7" fillId="4" borderId="18" applyAlignment="1" pivotButton="0" quotePrefix="0" xfId="230">
      <alignment horizontal="center" vertical="center"/>
    </xf>
    <xf numFmtId="0" fontId="7" fillId="4" borderId="19" applyAlignment="1" pivotButton="0" quotePrefix="0" xfId="230">
      <alignment horizontal="center" vertical="center" wrapText="1"/>
    </xf>
    <xf numFmtId="0" fontId="7" fillId="4" borderId="20" applyAlignment="1" pivotButton="0" quotePrefix="0" xfId="230">
      <alignment horizontal="center" vertical="center"/>
    </xf>
    <xf numFmtId="0" fontId="6" fillId="4" borderId="21" applyAlignment="1" pivotButton="0" quotePrefix="0" xfId="230">
      <alignment horizontal="center" vertical="center" wrapText="1"/>
    </xf>
    <xf numFmtId="0" fontId="6" fillId="4" borderId="22" applyAlignment="1" pivotButton="0" quotePrefix="0" xfId="230">
      <alignment horizontal="center" vertical="center" wrapText="1"/>
    </xf>
    <xf numFmtId="0" fontId="6" fillId="4" borderId="23" applyAlignment="1" pivotButton="0" quotePrefix="0" xfId="230">
      <alignment horizontal="center" vertical="center" wrapText="1"/>
    </xf>
    <xf numFmtId="0" fontId="7" fillId="4" borderId="22" applyAlignment="1" pivotButton="0" quotePrefix="0" xfId="230">
      <alignment horizontal="center" vertical="center"/>
    </xf>
    <xf numFmtId="0" fontId="7" fillId="4" borderId="24" applyAlignment="1" pivotButton="0" quotePrefix="0" xfId="230">
      <alignment horizontal="center" vertical="center"/>
    </xf>
    <xf numFmtId="0" fontId="7" fillId="4" borderId="25" applyAlignment="1" pivotButton="0" quotePrefix="0" xfId="230">
      <alignment horizontal="center" vertical="center" wrapText="1"/>
    </xf>
    <xf numFmtId="0" fontId="4" fillId="2" borderId="26" applyAlignment="1" pivotButton="0" quotePrefix="0" xfId="0">
      <alignment horizontal="center" vertical="center" wrapText="1"/>
    </xf>
    <xf numFmtId="0" fontId="4" fillId="2" borderId="27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29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4" fontId="10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6">
      <alignment vertical="center"/>
    </xf>
    <xf numFmtId="0" fontId="1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6">
      <alignment vertical="center"/>
    </xf>
    <xf numFmtId="9" fontId="21" fillId="0" borderId="1" applyAlignment="1" pivotButton="0" quotePrefix="0" xfId="3">
      <alignment horizontal="center" vertical="center" wrapText="1"/>
    </xf>
    <xf numFmtId="0" fontId="21" fillId="0" borderId="0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1" fillId="5" borderId="33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4" fontId="14" fillId="8" borderId="1" applyAlignment="1" pivotButton="0" quotePrefix="0" xfId="0">
      <alignment horizontal="center" vertical="center" wrapText="1"/>
    </xf>
    <xf numFmtId="1" fontId="14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1" fontId="25" fillId="9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9" fontId="27" fillId="0" borderId="1" applyAlignment="1" pivotButton="0" quotePrefix="0" xfId="239">
      <alignment horizontal="center" vertical="center" wrapText="1"/>
    </xf>
    <xf numFmtId="0" fontId="28" fillId="0" borderId="0" applyAlignment="1" pivotButton="0" quotePrefix="0" xfId="0">
      <alignment vertical="center"/>
    </xf>
    <xf numFmtId="1" fontId="29" fillId="0" borderId="1" applyAlignment="1" pivotButton="0" quotePrefix="0" xfId="0">
      <alignment horizontal="center" vertical="center"/>
    </xf>
    <xf numFmtId="1" fontId="25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vertical="center" wrapText="1"/>
    </xf>
    <xf numFmtId="0" fontId="32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239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9" fontId="14" fillId="0" borderId="1" applyAlignment="1" pivotButton="0" quotePrefix="0" xfId="3">
      <alignment horizontal="center" vertical="center" wrapText="1"/>
    </xf>
    <xf numFmtId="4" fontId="14" fillId="0" borderId="1" applyAlignment="1" pivotButton="0" quotePrefix="0" xfId="3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3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239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260">
      <alignment horizontal="center" vertical="center" wrapText="1"/>
    </xf>
    <xf numFmtId="14" fontId="32" fillId="0" borderId="1" applyAlignment="1" pivotButton="0" quotePrefix="0" xfId="236">
      <alignment horizontal="center" vertical="center"/>
    </xf>
    <xf numFmtId="2" fontId="36" fillId="0" borderId="0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4" fontId="14" fillId="4" borderId="1" applyAlignment="1" pivotButton="0" quotePrefix="0" xfId="0">
      <alignment horizontal="center" vertical="center"/>
    </xf>
    <xf numFmtId="4" fontId="19" fillId="4" borderId="1" applyAlignment="1" pivotButton="0" quotePrefix="0" xfId="0">
      <alignment horizontal="center" vertical="center"/>
    </xf>
    <xf numFmtId="4" fontId="14" fillId="4" borderId="1" applyAlignment="1" pivotButton="0" quotePrefix="0" xfId="1">
      <alignment horizontal="center" vertical="center"/>
    </xf>
    <xf numFmtId="10" fontId="37" fillId="0" borderId="0" applyAlignment="1" pivotButton="0" quotePrefix="0" xfId="3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2" fontId="11" fillId="5" borderId="0" applyAlignment="1" pivotButton="0" quotePrefix="0" xfId="3">
      <alignment vertical="center"/>
    </xf>
    <xf numFmtId="2" fontId="14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vertical="center"/>
    </xf>
    <xf numFmtId="0" fontId="19" fillId="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7" fontId="11" fillId="5" borderId="0" applyAlignment="1" pivotButton="0" quotePrefix="0" xfId="0">
      <alignment vertical="center"/>
    </xf>
    <xf numFmtId="167" fontId="10" fillId="5" borderId="0" applyAlignment="1" pivotButton="0" quotePrefix="0" xfId="0">
      <alignment vertical="center"/>
    </xf>
    <xf numFmtId="0" fontId="0" fillId="0" borderId="0" pivotButton="0" quotePrefix="0" xfId="0"/>
    <xf numFmtId="167" fontId="9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0" fillId="0" borderId="34" pivotButton="0" quotePrefix="0" xfId="0"/>
    <xf numFmtId="0" fontId="0" fillId="0" borderId="3" pivotButton="0" quotePrefix="0" xfId="0"/>
    <xf numFmtId="167" fontId="14" fillId="6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8" fontId="14" fillId="8" borderId="1" applyAlignment="1" pivotButton="0" quotePrefix="0" xfId="0">
      <alignment horizontal="center" vertical="center" wrapText="1"/>
    </xf>
    <xf numFmtId="169" fontId="27" fillId="0" borderId="1" applyAlignment="1" pivotButton="0" quotePrefix="0" xfId="239">
      <alignment horizontal="center" vertical="center" wrapText="1"/>
    </xf>
    <xf numFmtId="170" fontId="25" fillId="0" borderId="1" applyAlignment="1" pivotButton="0" quotePrefix="0" xfId="0">
      <alignment horizontal="left" vertical="center" wrapText="1"/>
    </xf>
    <xf numFmtId="170" fontId="31" fillId="0" borderId="1" applyAlignment="1" pivotButton="0" quotePrefix="0" xfId="0">
      <alignment horizontal="left" vertical="center" wrapText="1"/>
    </xf>
    <xf numFmtId="169" fontId="19" fillId="0" borderId="1" applyAlignment="1" pivotButton="0" quotePrefix="0" xfId="239">
      <alignment horizontal="center" vertical="center" wrapText="1"/>
    </xf>
    <xf numFmtId="171" fontId="14" fillId="0" borderId="1" applyAlignment="1" pivotButton="0" quotePrefix="0" xfId="239">
      <alignment horizontal="center" vertical="center" wrapText="1"/>
    </xf>
    <xf numFmtId="172" fontId="33" fillId="0" borderId="1" applyAlignment="1" pivotButton="0" quotePrefix="0" xfId="239">
      <alignment horizontal="center" vertical="center" wrapText="1"/>
    </xf>
    <xf numFmtId="167" fontId="14" fillId="0" borderId="1" applyAlignment="1" pivotButton="0" quotePrefix="0" xfId="239">
      <alignment horizontal="center" vertical="center" wrapText="1"/>
    </xf>
    <xf numFmtId="165" fontId="14" fillId="0" borderId="1" applyAlignment="1" pivotButton="0" quotePrefix="0" xfId="1">
      <alignment horizontal="center" vertical="center" wrapText="1"/>
    </xf>
    <xf numFmtId="173" fontId="19" fillId="0" borderId="1" applyAlignment="1" pivotButton="0" quotePrefix="0" xfId="0">
      <alignment horizontal="center" vertical="center"/>
    </xf>
    <xf numFmtId="173" fontId="34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173" fontId="14" fillId="0" borderId="1" applyAlignment="1" pivotButton="0" quotePrefix="0" xfId="0">
      <alignment horizontal="center" vertical="center" wrapText="1"/>
    </xf>
    <xf numFmtId="173" fontId="19" fillId="0" borderId="1" applyAlignment="1" pivotButton="0" quotePrefix="0" xfId="0">
      <alignment horizontal="center" vertical="center" wrapText="1"/>
    </xf>
    <xf numFmtId="165" fontId="36" fillId="0" borderId="0" applyAlignment="1" pivotButton="0" quotePrefix="0" xfId="0">
      <alignment horizontal="center" vertical="center" wrapText="1"/>
    </xf>
    <xf numFmtId="169" fontId="27" fillId="0" borderId="1" applyAlignment="1" pivotButton="0" quotePrefix="0" xfId="0">
      <alignment horizontal="center" vertical="center" wrapText="1"/>
    </xf>
    <xf numFmtId="169" fontId="19" fillId="0" borderId="1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wrapText="1"/>
    </xf>
    <xf numFmtId="172" fontId="3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4" fontId="14" fillId="0" borderId="1" applyAlignment="1" pivotButton="0" quotePrefix="0" xfId="0">
      <alignment horizontal="center" vertical="center" wrapText="1"/>
    </xf>
    <xf numFmtId="165" fontId="14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14" fontId="35" fillId="0" borderId="4" applyAlignment="1" pivotButton="0" quotePrefix="0" xfId="0">
      <alignment horizontal="center" vertical="center" wrapText="1"/>
    </xf>
    <xf numFmtId="14" fontId="32" fillId="0" borderId="1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74" fontId="11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0" fontId="4" fillId="2" borderId="6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6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5" fontId="2" fillId="0" borderId="14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</cellXfs>
  <cellStyles count="2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0,0_x000d__x000a_NA_x000d__x000a_" xfId="50"/>
    <cellStyle name="20 % - Akzent1 2" xfId="51"/>
    <cellStyle name="20 % - Akzent1 2 2 2" xfId="52"/>
    <cellStyle name="20 % - Akzent2 2" xfId="53"/>
    <cellStyle name="20 % - Akzent2 2 2 2" xfId="54"/>
    <cellStyle name="20 % - Akzent3 2" xfId="55"/>
    <cellStyle name="20 % - Akzent3 2 2 2" xfId="56"/>
    <cellStyle name="20 % - Akzent4 2" xfId="57"/>
    <cellStyle name="20 % - Akzent4 2 2 2" xfId="58"/>
    <cellStyle name="20 % - Akzent5 2" xfId="59"/>
    <cellStyle name="20 % - Akzent5 2 2 2" xfId="60"/>
    <cellStyle name="20 % - Akzent6 2" xfId="61"/>
    <cellStyle name="20 % - Akzent6 2 2 2" xfId="62"/>
    <cellStyle name="20% - Акцент1 2" xfId="63"/>
    <cellStyle name="20% - Акцент2 2" xfId="64"/>
    <cellStyle name="20% - Акцент3 2" xfId="65"/>
    <cellStyle name="20% - Акцент5 2" xfId="66"/>
    <cellStyle name="40 % - Akzent1 2" xfId="67"/>
    <cellStyle name="40 % - Akzent2 2" xfId="68"/>
    <cellStyle name="40 % - Akzent3 2" xfId="69"/>
    <cellStyle name="40 % - Akzent4 2" xfId="70"/>
    <cellStyle name="40 % - Akzent5 2" xfId="71"/>
    <cellStyle name="40 % - Akzent6 2" xfId="72"/>
    <cellStyle name="40% - Акцент1 2" xfId="73"/>
    <cellStyle name="40% - Акцент2 2" xfId="74"/>
    <cellStyle name="40% - Акцент3 2" xfId="75"/>
    <cellStyle name="40% - Акцент5 2" xfId="76"/>
    <cellStyle name="60 % - Akzent1 2" xfId="77"/>
    <cellStyle name="60 % - Akzent1 2 2" xfId="78"/>
    <cellStyle name="60 % - Akzent2 2" xfId="79"/>
    <cellStyle name="60 % - Akzent2 2 2" xfId="80"/>
    <cellStyle name="60 % - Akzent3 2" xfId="81"/>
    <cellStyle name="60 % - Akzent3 2 2" xfId="82"/>
    <cellStyle name="60 % - Akzent4 2" xfId="83"/>
    <cellStyle name="60 % - Akzent4 2 2" xfId="84"/>
    <cellStyle name="60 % - Akzent5 2" xfId="85"/>
    <cellStyle name="60 % - Akzent5 2 2" xfId="86"/>
    <cellStyle name="60 % - Akzent6 2" xfId="87"/>
    <cellStyle name="60 % - Akzent6 2 2" xfId="88"/>
    <cellStyle name="60% - Акцент1 2" xfId="89"/>
    <cellStyle name="60% - Акцент2 2" xfId="90"/>
    <cellStyle name="60% - Акцент3 2" xfId="91"/>
    <cellStyle name="60% - Акцент4 2" xfId="92"/>
    <cellStyle name="60% - Акцент6 2" xfId="93"/>
    <cellStyle name="Accent1 - 20%" xfId="94"/>
    <cellStyle name="Accent1 - 40%" xfId="95"/>
    <cellStyle name="Accent1 - 60%" xfId="96"/>
    <cellStyle name="Accent2 - 20%" xfId="97"/>
    <cellStyle name="Accent2 - 40%" xfId="98"/>
    <cellStyle name="Accent2 - 60%" xfId="99"/>
    <cellStyle name="Accent3 - 20%" xfId="100"/>
    <cellStyle name="Accent3 - 40%" xfId="101"/>
    <cellStyle name="Accent3 - 60%" xfId="102"/>
    <cellStyle name="Accent4 - 40%" xfId="103"/>
    <cellStyle name="Accent4 - 60%" xfId="104"/>
    <cellStyle name="Accent5 - 20%" xfId="105"/>
    <cellStyle name="Accent5 - 40%" xfId="106"/>
    <cellStyle name="Accent6 - 20%" xfId="107"/>
    <cellStyle name="Accent6 - 40%" xfId="108"/>
    <cellStyle name="Accent6 - 60%" xfId="109"/>
    <cellStyle name="Akzent1 2" xfId="110"/>
    <cellStyle name="Akzent2 2" xfId="111"/>
    <cellStyle name="Akzent3 2" xfId="112"/>
    <cellStyle name="Akzent4 2" xfId="113"/>
    <cellStyle name="Akzent5 2" xfId="114"/>
    <cellStyle name="Akzent6 2" xfId="115"/>
    <cellStyle name="Ausgabe 2" xfId="116"/>
    <cellStyle name="Berechnung 2" xfId="117"/>
    <cellStyle name="Eingabe 2" xfId="118"/>
    <cellStyle name="Emphasis 1" xfId="119"/>
    <cellStyle name="Emphasis 2" xfId="120"/>
    <cellStyle name="Emphasis 3" xfId="121"/>
    <cellStyle name="Ergebnis 2" xfId="122"/>
    <cellStyle name="Erklärender Text 2" xfId="123"/>
    <cellStyle name="Euro" xfId="124"/>
    <cellStyle name="Euro 2" xfId="125"/>
    <cellStyle name="Euro 3" xfId="126"/>
    <cellStyle name="Gut 2" xfId="127"/>
    <cellStyle name="Heading 3 2" xfId="128"/>
    <cellStyle name="Hyperlink 2" xfId="129"/>
    <cellStyle name="Hyperlink 4" xfId="130"/>
    <cellStyle name="Komma 2" xfId="131"/>
    <cellStyle name="Neutral 2" xfId="132"/>
    <cellStyle name="normal 2" xfId="133"/>
    <cellStyle name="Normal 2 3" xfId="134"/>
    <cellStyle name="Normal 3" xfId="135"/>
    <cellStyle name="Normal 5" xfId="136"/>
    <cellStyle name="Notitie 2" xfId="137"/>
    <cellStyle name="Procent 2" xfId="138"/>
    <cellStyle name="Prozent 2" xfId="139"/>
    <cellStyle name="Prozent 2 6" xfId="140"/>
    <cellStyle name="Prozent 4" xfId="141"/>
    <cellStyle name="S12" xfId="142"/>
    <cellStyle name="SAPBEXaggData" xfId="143"/>
    <cellStyle name="SAPBEXaggDataEmph" xfId="144"/>
    <cellStyle name="SAPBEXaggItem" xfId="145"/>
    <cellStyle name="SAPBEXaggItemX" xfId="146"/>
    <cellStyle name="SAPBEXchaText" xfId="147"/>
    <cellStyle name="SAPBEXexcBad7" xfId="148"/>
    <cellStyle name="SAPBEXexcBad8" xfId="149"/>
    <cellStyle name="SAPBEXexcBad9" xfId="150"/>
    <cellStyle name="SAPBEXexcCritical4" xfId="151"/>
    <cellStyle name="SAPBEXexcCritical5" xfId="152"/>
    <cellStyle name="SAPBEXexcCritical6" xfId="153"/>
    <cellStyle name="SAPBEXexcGood1" xfId="154"/>
    <cellStyle name="SAPBEXexcGood2" xfId="155"/>
    <cellStyle name="SAPBEXexcGood3" xfId="156"/>
    <cellStyle name="SAPBEXfilterDrill" xfId="157"/>
    <cellStyle name="SAPBEXfilterItem" xfId="158"/>
    <cellStyle name="SAPBEXformats" xfId="159"/>
    <cellStyle name="SAPBEXheaderItem" xfId="160"/>
    <cellStyle name="SAPBEXheaderText" xfId="161"/>
    <cellStyle name="SAPBEXHLevel0" xfId="162"/>
    <cellStyle name="SAPBEXHLevel0X" xfId="163"/>
    <cellStyle name="SAPBEXHLevel1" xfId="164"/>
    <cellStyle name="SAPBEXHLevel1X" xfId="165"/>
    <cellStyle name="SAPBEXHLevel2" xfId="166"/>
    <cellStyle name="SAPBEXHLevel2X" xfId="167"/>
    <cellStyle name="SAPBEXHLevel3" xfId="168"/>
    <cellStyle name="SAPBEXHLevel3X" xfId="169"/>
    <cellStyle name="SAPBEXinputData" xfId="170"/>
    <cellStyle name="SAPBEXinputData 2 3" xfId="171"/>
    <cellStyle name="SAPBEXItemHeader" xfId="172"/>
    <cellStyle name="SAPBEXresData" xfId="173"/>
    <cellStyle name="SAPBEXresDataEmph" xfId="174"/>
    <cellStyle name="SAPBEXresItem" xfId="175"/>
    <cellStyle name="SAPBEXresItemX" xfId="176"/>
    <cellStyle name="SAPBEXstdData" xfId="177"/>
    <cellStyle name="SAPBEXstdDataEmph" xfId="178"/>
    <cellStyle name="SAPBEXstdItemX" xfId="179"/>
    <cellStyle name="SAPBEXtitle" xfId="180"/>
    <cellStyle name="SAPBEXunassignedItem" xfId="181"/>
    <cellStyle name="SAPBEXunassignedItem 3" xfId="182"/>
    <cellStyle name="SAPBEXundefined" xfId="183"/>
    <cellStyle name="Schlecht 2" xfId="184"/>
    <cellStyle name="Sheet Title" xfId="185"/>
    <cellStyle name="Sheet Title 2" xfId="186"/>
    <cellStyle name="Standaard 10" xfId="187"/>
    <cellStyle name="Standaard 2 2" xfId="188"/>
    <cellStyle name="Standaard 2 3 5" xfId="189"/>
    <cellStyle name="Standaard_Blad1" xfId="190"/>
    <cellStyle name="Standard 27" xfId="191"/>
    <cellStyle name="Standard 7 2" xfId="192"/>
    <cellStyle name="Überschrift 1 2" xfId="193"/>
    <cellStyle name="Überschrift 2 2" xfId="194"/>
    <cellStyle name="Überschrift 3 2" xfId="195"/>
    <cellStyle name="Überschrift 4 2" xfId="196"/>
    <cellStyle name="Verknüpfte Zelle 2" xfId="197"/>
    <cellStyle name="Währung 2 2" xfId="198"/>
    <cellStyle name="Warnender Text 2" xfId="199"/>
    <cellStyle name="Zelle überprüfen 2" xfId="200"/>
    <cellStyle name="Акцент1 2" xfId="201"/>
    <cellStyle name="Акцент2 2" xfId="202"/>
    <cellStyle name="Акцент2 5" xfId="203"/>
    <cellStyle name="Акцент3 2" xfId="204"/>
    <cellStyle name="Акцент4 2" xfId="205"/>
    <cellStyle name="Акцент4 5" xfId="206"/>
    <cellStyle name="Акцент6 2" xfId="207"/>
    <cellStyle name="Акцент6 5" xfId="208"/>
    <cellStyle name="Ввод  2" xfId="209"/>
    <cellStyle name="Вывод 2" xfId="210"/>
    <cellStyle name="Вывод 5" xfId="211"/>
    <cellStyle name="Вычисление 2" xfId="212"/>
    <cellStyle name="Гиперссылка 2" xfId="213"/>
    <cellStyle name="Заголовок 1 2" xfId="214"/>
    <cellStyle name="Заголовок 1 5" xfId="215"/>
    <cellStyle name="Заголовок 2 2" xfId="216"/>
    <cellStyle name="Заголовок 2 5" xfId="217"/>
    <cellStyle name="Заголовок 3 2" xfId="218"/>
    <cellStyle name="Заголовок 3 5" xfId="219"/>
    <cellStyle name="Заголовок 4 2" xfId="220"/>
    <cellStyle name="Итог 2" xfId="221"/>
    <cellStyle name="Итог 5" xfId="222"/>
    <cellStyle name="Контрольная ячейка 2" xfId="223"/>
    <cellStyle name="Контрольная ячейка 5" xfId="224"/>
    <cellStyle name="Нейтральный 2" xfId="225"/>
    <cellStyle name="Обычный 12" xfId="226"/>
    <cellStyle name="Обычный 13" xfId="227"/>
    <cellStyle name="Обычный 13 2" xfId="228"/>
    <cellStyle name="Обычный 2" xfId="229"/>
    <cellStyle name="Обычный 2 5 3" xfId="230"/>
    <cellStyle name="Обычный 3" xfId="231"/>
    <cellStyle name="Обычный 3 2" xfId="232"/>
    <cellStyle name="Обычный 3 3" xfId="233"/>
    <cellStyle name="Обычный 4" xfId="234"/>
    <cellStyle name="Обычный 4 3" xfId="235"/>
    <cellStyle name="Обычный 5 2 2" xfId="236"/>
    <cellStyle name="Обычный 6" xfId="237"/>
    <cellStyle name="Обычный 8" xfId="238"/>
    <cellStyle name="Обычный_Лист1" xfId="239"/>
    <cellStyle name="Плохой 2" xfId="240"/>
    <cellStyle name="Плохой 5" xfId="241"/>
    <cellStyle name="Примечание 2" xfId="242"/>
    <cellStyle name="Примечание 3 2" xfId="243"/>
    <cellStyle name="Примечание 3 3" xfId="244"/>
    <cellStyle name="Примечание 5" xfId="245"/>
    <cellStyle name="Процентный 2 2" xfId="246"/>
    <cellStyle name="Связанная ячейка 2" xfId="247"/>
    <cellStyle name="Текст предупреждения 2" xfId="248"/>
    <cellStyle name="Финансовый 2" xfId="249"/>
    <cellStyle name="Финансовый 2 2" xfId="250"/>
    <cellStyle name="Финансовый 2 2 2" xfId="251"/>
    <cellStyle name="Финансовый 2 3 2" xfId="252"/>
    <cellStyle name="Финансовый 2 5" xfId="253"/>
    <cellStyle name="Финансовый 3" xfId="254"/>
    <cellStyle name="Хороший 5" xfId="255"/>
    <cellStyle name="一般_M409-147A" xfId="256"/>
    <cellStyle name="常规 10" xfId="257"/>
    <cellStyle name="常规 11" xfId="258"/>
    <cellStyle name="常规 2" xfId="259"/>
    <cellStyle name="常规_SS10 总表 2" xfId="26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Шалаева Юлия</author>
  </authors>
  <commentList>
    <comment ref="H9" authorId="0" shapeId="0">
      <text>
        <t>Шалаева Юлия:
исходные данные из формы предрасчета</t>
      </text>
    </comment>
    <comment ref="O10" authorId="0" shapeId="0">
      <text>
        <t>Шалаева Юлия:
для новинок</t>
      </text>
    </comment>
    <comment ref="Q10" authorId="0" shapeId="0">
      <text>
        <t>Шалаева Юлия:
может совпадать с арт поставщика</t>
      </text>
    </comment>
    <comment ref="X10" authorId="0" shapeId="0">
      <text>
        <t>Шалаева Юлия:
для товаров наборов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OF-FS-02\Commercial%20Department\&#1054;&#1090;&#1076;&#1077;&#1083;%20&#1055;&#1088;&#1103;&#1084;&#1086;&#1075;&#1086;%20&#1048;&#1084;&#1087;&#1086;&#1088;&#1090;&#1072;\&#1054;&#1090;&#1076;&#1077;&#1083;%20&#1048;&#1084;&#1087;&#1086;&#1088;&#1090;&#1072;%20NonFood\Electro\0_Project%20tracker%20LENTA%20Electro_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retail.lenta.spb.rus\lenta\Users\maria.v.strik\AppData\Local\Microsoft\Windows\INetCache\Content.Outlook\9DOORHWR\&#1050;&#1072;&#1088;&#1090;&#1072;%20&#1074;&#1074;&#1086;&#1076;&#1072;%20P41_&#1048;&#1075;&#1088;&#1091;&#1096;&#1082;&#1080;%20&#1053;&#1043;%202023_&#1087;&#1088;&#1080;&#1093;&#1086;&#1076;%2011022%20(002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&#22806;&#36152;&#19968;&#21306;&#65288;&#20869;&#37096;&#65289;/Office/Commercial%20Department/Non-Food%20Department/NF_Home/P34/NEW%20YEAR/2017%20&#1075;&#1086;&#1076;/&#1050;&#1072;&#1090;&#1040;&#1085;/&#1084;&#1072;&#1090;&#1088;&#1080;&#1094;&#1072;%20&#1087;&#1086;%20&#1087;&#1086;&#1090;&#1088;&#1077;&#1073;&#1085;&#1086;&#1089;&#1090;&#1103;&#1084;/&#1082;&#1072;&#1088;&#1085;&#1072;&#1074;&#1072;&#1083;/&#1050;&#1072;&#1088;&#1085;&#1072;&#1074;&#1072;&#1083;2017_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ct Tracker Electro"/>
      <sheetName val="Лист1"/>
      <sheetName val="Project Tracker Garden"/>
      <sheetName val="таймлайн Сад"/>
      <sheetName val="Setup"/>
      <sheetName val="0_Project tracker LENTA Electro"/>
      <sheetName val="0_Project%20tracker%20LENTA%20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Заполняет Поставщик и КС"/>
      <sheetName val="Лист1"/>
      <sheetName val="Комментарии по Статусам остатко"/>
      <sheetName val="Технич"/>
      <sheetName val="ФОТО"/>
      <sheetName val="Для ДУК"/>
      <sheetName val="На подпись Поставщику"/>
      <sheetName val="Маркировка"/>
      <sheetName val="Гор. приор"/>
      <sheetName val="2ч P41,P16 Игр и канц"/>
      <sheetName val="Тех атрибуты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о ТК"/>
      <sheetName val="01.01.2017"/>
      <sheetName val="06.03.2017"/>
      <sheetName val="Тк"/>
      <sheetName val="заказ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Q157"/>
  <sheetViews>
    <sheetView tabSelected="1" topLeftCell="AT6" zoomScale="70" zoomScaleNormal="70" zoomScalePageLayoutView="40" workbookViewId="0">
      <selection activeCell="CJ13" sqref="CJ13"/>
    </sheetView>
  </sheetViews>
  <sheetFormatPr baseColWidth="8" defaultColWidth="9.142857142857141" defaultRowHeight="14.25"/>
  <cols>
    <col width="6.14285714285714" customWidth="1" style="87" min="1" max="3"/>
    <col width="26" customWidth="1" style="80" min="4" max="4"/>
    <col width="29.5714285714286" customWidth="1" style="87" min="5" max="5"/>
    <col hidden="1" width="51" customWidth="1" style="87" min="6" max="6"/>
    <col hidden="1" width="16.8571428571429" customWidth="1" style="87" min="7" max="7"/>
    <col hidden="1" outlineLevel="1" width="18" customWidth="1" style="87" min="8" max="8"/>
    <col hidden="1" outlineLevel="1" width="27.8571428571429" customWidth="1" style="87" min="9" max="9"/>
    <col hidden="1" outlineLevel="1" width="30.8571428571429" customWidth="1" style="87" min="10" max="10"/>
    <col hidden="1" outlineLevel="1" width="27.1428571428571" customWidth="1" style="87" min="11" max="11"/>
    <col hidden="1" outlineLevel="1" width="28.8571428571429" customWidth="1" style="87" min="12" max="12"/>
    <col hidden="1" collapsed="1" width="31.1428571428571" customWidth="1" style="87" min="13" max="13"/>
    <col width="34.8571428571429" customWidth="1" style="87" min="14" max="14"/>
    <col hidden="1" width="24.5714285714286" customWidth="1" style="87" min="15" max="15"/>
    <col width="26.1428571428571" customWidth="1" style="87" min="16" max="16"/>
    <col hidden="1" width="28.8571428571429" customWidth="1" style="87" min="17" max="17"/>
    <col hidden="1" width="29.1428571428571" customWidth="1" style="87" min="18" max="18"/>
    <col hidden="1" width="41.1428571428571" customWidth="1" style="87" min="19" max="19"/>
    <col hidden="1" width="44.4285714285714" customWidth="1" style="87" min="20" max="20"/>
    <col width="25.1428571428571" customWidth="1" style="87" min="21" max="21"/>
    <col hidden="1" width="45.4285714285714" customWidth="1" style="87" min="22" max="22"/>
    <col hidden="1" width="33.4285714285714" customWidth="1" style="87" min="23" max="23"/>
    <col hidden="1" width="33.5714285714286" customWidth="1" style="87" min="24" max="24"/>
    <col hidden="1" width="26.2857142857143" customWidth="1" style="87" min="25" max="25"/>
    <col hidden="1" width="45.1428571428571" customWidth="1" style="87" min="26" max="26"/>
    <col hidden="1" width="22.4285714285714" customWidth="1" style="87" min="27" max="27"/>
    <col hidden="1" width="16.5714285714286" customWidth="1" style="87" min="28" max="28"/>
    <col hidden="1" width="38" customWidth="1" style="87" min="29" max="29"/>
    <col hidden="1" outlineLevel="1" width="30" customWidth="1" style="87" min="30" max="30"/>
    <col hidden="1" outlineLevel="1" width="29.5714285714286" customWidth="1" style="87" min="31" max="31"/>
    <col hidden="1" outlineLevel="1" width="27.1428571428571" customWidth="1" style="87" min="32" max="32"/>
    <col hidden="1" outlineLevel="1" width="20.5714285714286" customWidth="1" style="87" min="33" max="33"/>
    <col hidden="1" outlineLevel="1" width="13.1428571428571" customWidth="1" style="87" min="34" max="34"/>
    <col hidden="1" outlineLevel="1" width="13.8571428571429" customWidth="1" style="87" min="35" max="35"/>
    <col hidden="1" outlineLevel="1" width="16.8571428571429" customWidth="1" style="87" min="36" max="36"/>
    <col hidden="1" outlineLevel="1" width="18.7142857142857" customWidth="1" style="87" min="37" max="37"/>
    <col hidden="1" outlineLevel="1" width="34" customWidth="1" style="87" min="38" max="38"/>
    <col hidden="1" outlineLevel="1" width="35.1428571428571" customWidth="1" style="87" min="39" max="40"/>
    <col hidden="1" collapsed="1" width="28.8571428571429" customWidth="1" style="87" min="41" max="41"/>
    <col hidden="1" width="44.1428571428571" customWidth="1" style="87" min="42" max="43"/>
    <col hidden="1" width="21.4285714285714" customWidth="1" style="87" min="44" max="44"/>
    <col hidden="1" width="17.5714285714286" customWidth="1" style="87" min="45" max="45"/>
    <col width="18.1428571428571" customWidth="1" style="81" min="46" max="46"/>
    <col hidden="1" outlineLevel="1" width="18.1428571428571" customWidth="1" style="187" min="47" max="47"/>
    <col collapsed="1" width="17.2857142857143" customWidth="1" style="187" min="48" max="48"/>
    <col hidden="1" width="22.8571428571429" customWidth="1" style="188" min="49" max="49"/>
    <col hidden="1" outlineLevel="1" width="20.8571428571429" customWidth="1" style="84" min="50" max="50"/>
    <col hidden="1" outlineLevel="1" width="29" customWidth="1" style="85" min="51" max="51"/>
    <col hidden="1" outlineLevel="1" width="25.1428571428571" customWidth="1" style="81" min="52" max="52"/>
    <col collapsed="1" width="15" customWidth="1" style="81" min="53" max="53"/>
    <col hidden="1" outlineLevel="1" width="21" customWidth="1" style="86" min="54" max="60"/>
    <col hidden="1" outlineLevel="1" width="25" customWidth="1" style="87" min="61" max="61"/>
    <col collapsed="1" width="15.4285714285714" customWidth="1" style="87" min="62" max="62"/>
    <col width="15.4285714285714" customWidth="1" style="87" min="63" max="66"/>
    <col outlineLevel="1" width="14.4285714285714" customWidth="1" style="81" min="67" max="67"/>
    <col outlineLevel="1" width="15.4285714285714" customWidth="1" style="87" min="68" max="68"/>
    <col outlineLevel="1" width="17.5714285714286" customWidth="1" style="87" min="69" max="69"/>
    <col outlineLevel="1" width="15.4285714285714" customWidth="1" style="87" min="70" max="71"/>
    <col outlineLevel="1" width="18.1428571428571" customWidth="1" style="87" min="72" max="72"/>
    <col width="14.4285714285714" customWidth="1" style="81" min="73" max="73"/>
    <col width="15.4285714285714" customWidth="1" style="87" min="74" max="74"/>
    <col width="17.5714285714286" customWidth="1" style="87" min="75" max="78"/>
    <col width="15.4285714285714" customWidth="1" style="87" min="79" max="79"/>
    <col hidden="1" outlineLevel="1" width="14.4285714285714" customWidth="1" style="81" min="80" max="80"/>
    <col hidden="1" outlineLevel="1" width="17.8571428571429" customWidth="1" style="81" min="81" max="81"/>
    <col hidden="1" outlineLevel="1" width="23.8571428571429" customWidth="1" style="81" min="82" max="82"/>
    <col hidden="1" outlineLevel="1" width="25.4285714285714" customWidth="1" style="81" min="83" max="83"/>
    <col hidden="1" outlineLevel="1" width="20.8571428571429" customWidth="1" style="81" min="84" max="84"/>
    <col hidden="1" outlineLevel="1" width="17.5714285714286" customWidth="1" style="87" min="85" max="85"/>
    <col hidden="1" outlineLevel="1" width="15.4285714285714" customWidth="1" style="87" min="86" max="87"/>
    <col collapsed="1" width="25.8571428571429" customWidth="1" style="87" min="88" max="88"/>
    <col hidden="1" outlineLevel="1" width="19" customWidth="1" style="87" min="89" max="89"/>
    <col hidden="1" outlineLevel="1" width="26.5714285714286" customWidth="1" style="87" min="90" max="90"/>
    <col hidden="1" outlineLevel="1" width="27.1428571428571" customWidth="1" style="87" min="91" max="91"/>
    <col hidden="1" outlineLevel="1" width="27.4285714285714" customWidth="1" style="87" min="92" max="92"/>
    <col collapsed="1" width="14.1428571428571" customWidth="1" style="87" min="93" max="93"/>
    <col width="16.8571428571429" customWidth="1" style="87" min="94" max="94"/>
    <col width="9.142857142857141" customWidth="1" style="87" min="95" max="16384"/>
  </cols>
  <sheetData>
    <row r="1" ht="14.1" customHeight="1" s="189">
      <c r="H1" s="87" t="n"/>
      <c r="I1" s="87" t="n"/>
      <c r="J1" s="87" t="n"/>
      <c r="K1" s="87" t="n"/>
      <c r="L1" s="87" t="n"/>
      <c r="BU1" s="88" t="n"/>
      <c r="CB1" s="88" t="n"/>
      <c r="CJ1" s="89" t="n"/>
      <c r="CK1" s="89" t="n"/>
      <c r="CL1" s="89" t="n"/>
      <c r="CN1" s="89" t="n"/>
    </row>
    <row r="2" ht="57" customFormat="1" customHeight="1" s="74">
      <c r="A2" s="90" t="n"/>
      <c r="D2" s="91" t="inlineStr">
        <is>
          <t>Supplier name</t>
        </is>
      </c>
      <c r="E2" s="92" t="inlineStr">
        <is>
          <t>Fujian Hannah's Cottage Co.,LTD</t>
        </is>
      </c>
      <c r="F2" s="93" t="n"/>
      <c r="H2" s="87" t="n"/>
      <c r="I2" s="87" t="n"/>
      <c r="J2" s="87" t="n"/>
      <c r="K2" s="87" t="n"/>
      <c r="L2" s="87" t="n"/>
      <c r="AU2" s="190" t="n"/>
      <c r="AV2" s="190" t="n"/>
      <c r="AW2" s="190" t="n"/>
      <c r="AX2" s="95" t="n"/>
      <c r="BB2" s="96" t="n"/>
      <c r="BC2" s="96" t="n"/>
      <c r="BD2" s="96" t="n"/>
      <c r="BE2" s="96" t="n"/>
      <c r="BF2" s="96" t="n"/>
      <c r="BG2" s="96" t="n"/>
      <c r="BH2" s="96" t="n"/>
      <c r="BU2" s="88" t="n"/>
      <c r="CB2" s="88" t="n"/>
      <c r="CJ2" s="89" t="n"/>
      <c r="CK2" s="89" t="n"/>
      <c r="CL2" s="89" t="n"/>
      <c r="CN2" s="89" t="n"/>
    </row>
    <row r="3" ht="65.09999999999999" customFormat="1" customHeight="1" s="74">
      <c r="D3" s="91" t="inlineStr">
        <is>
          <t>Supplier type - trading / factory</t>
        </is>
      </c>
      <c r="E3" s="97" t="inlineStr">
        <is>
          <t>factory</t>
        </is>
      </c>
      <c r="F3" s="93" t="n"/>
      <c r="H3" s="87" t="n"/>
      <c r="I3" s="87" t="n"/>
      <c r="J3" s="87" t="n"/>
      <c r="K3" s="87" t="n"/>
      <c r="L3" s="87" t="n"/>
      <c r="AU3" s="190" t="n"/>
      <c r="AV3" s="190" t="n"/>
      <c r="AW3" s="190" t="n"/>
      <c r="AX3" s="95" t="n"/>
      <c r="BB3" s="96" t="n"/>
      <c r="BC3" s="96" t="n"/>
      <c r="BD3" s="96" t="n"/>
      <c r="BE3" s="96" t="n"/>
      <c r="BF3" s="96" t="n"/>
      <c r="BG3" s="96" t="n"/>
      <c r="BH3" s="96" t="n"/>
      <c r="BI3" s="98" t="n"/>
      <c r="BU3" s="88" t="n"/>
      <c r="CB3" s="88" t="n"/>
      <c r="CJ3" s="89" t="n"/>
      <c r="CK3" s="89" t="n"/>
      <c r="CL3" s="89" t="n"/>
      <c r="CN3" s="89" t="n"/>
    </row>
    <row r="4" ht="52.5" customFormat="1" customHeight="1" s="74">
      <c r="D4" s="91" t="inlineStr">
        <is>
          <t>Supplier's contact person</t>
        </is>
      </c>
      <c r="E4" s="99" t="n"/>
      <c r="F4" s="100" t="n"/>
      <c r="H4" s="87" t="n"/>
      <c r="I4" s="87" t="n"/>
      <c r="J4" s="87" t="n"/>
      <c r="K4" s="87" t="n"/>
      <c r="L4" s="87" t="n"/>
      <c r="AU4" s="190" t="n"/>
      <c r="AV4" s="190" t="n"/>
      <c r="AW4" s="190" t="n"/>
      <c r="AX4" s="95" t="n"/>
      <c r="BB4" s="96" t="n"/>
      <c r="BC4" s="96" t="n"/>
      <c r="BD4" s="96" t="n"/>
      <c r="BE4" s="96" t="n"/>
      <c r="BF4" s="96" t="n"/>
      <c r="BG4" s="96" t="n"/>
      <c r="BH4" s="96" t="n"/>
      <c r="BI4" s="98" t="n"/>
      <c r="BU4" s="88" t="n"/>
      <c r="CB4" s="88" t="n"/>
      <c r="CJ4" s="89" t="n"/>
      <c r="CK4" s="89" t="n"/>
      <c r="CL4" s="89" t="n"/>
      <c r="CN4" s="89" t="n"/>
    </row>
    <row r="5" ht="42.6" customFormat="1" customHeight="1" s="74">
      <c r="D5" s="91" t="inlineStr">
        <is>
          <t>Agent</t>
        </is>
      </c>
      <c r="E5" s="99" t="n"/>
      <c r="F5" s="93" t="n"/>
      <c r="H5" s="87" t="n"/>
      <c r="I5" s="87" t="n"/>
      <c r="J5" s="87" t="n"/>
      <c r="K5" s="87" t="n"/>
      <c r="L5" s="87" t="n"/>
      <c r="M5" s="90" t="n"/>
      <c r="N5" s="101" t="n"/>
      <c r="O5" s="90" t="n"/>
      <c r="R5" s="101" t="n"/>
      <c r="Y5" s="102" t="n"/>
      <c r="Z5" s="102" t="n"/>
      <c r="AE5" s="90" t="n"/>
      <c r="AF5" s="90" t="n"/>
      <c r="AG5" s="90" t="n"/>
      <c r="AH5" s="90" t="n"/>
      <c r="AI5" s="90" t="n"/>
      <c r="AU5" s="190" t="n"/>
      <c r="AV5" s="190" t="n"/>
      <c r="AW5" s="190" t="n"/>
      <c r="AX5" s="95" t="n"/>
      <c r="BB5" s="96" t="n"/>
      <c r="BC5" s="96" t="n"/>
      <c r="BD5" s="96" t="n"/>
      <c r="BE5" s="96" t="n"/>
      <c r="BF5" s="96" t="n"/>
      <c r="BG5" s="96" t="n"/>
      <c r="BH5" s="96" t="n"/>
      <c r="BI5" s="98" t="n"/>
      <c r="BU5" s="88" t="n"/>
      <c r="CB5" s="88" t="n"/>
      <c r="CJ5" s="89" t="n"/>
      <c r="CK5" s="89" t="n"/>
      <c r="CL5" s="89" t="n"/>
      <c r="CN5" s="89" t="n"/>
    </row>
    <row r="6" ht="41.1" customFormat="1" customHeight="1" s="74">
      <c r="D6" s="91" t="inlineStr">
        <is>
          <t>Agent's contact person</t>
        </is>
      </c>
      <c r="E6" s="99" t="n"/>
      <c r="F6" s="103" t="n"/>
      <c r="H6" s="87" t="n"/>
      <c r="I6" s="87" t="n"/>
      <c r="J6" s="87" t="n"/>
      <c r="K6" s="87" t="n"/>
      <c r="L6" s="87" t="n"/>
      <c r="M6" s="90" t="n"/>
      <c r="N6" s="101" t="n"/>
      <c r="O6" s="90" t="n"/>
      <c r="R6" s="101" t="n"/>
      <c r="AE6" s="90" t="n"/>
      <c r="AF6" s="90" t="n"/>
      <c r="AG6" s="90" t="n"/>
      <c r="AH6" s="90" t="n"/>
      <c r="AI6" s="90" t="n"/>
      <c r="AU6" s="190" t="n"/>
      <c r="AV6" s="190" t="n"/>
      <c r="AW6" s="190" t="n"/>
      <c r="AX6" s="95" t="n"/>
      <c r="BB6" s="96" t="n"/>
      <c r="BC6" s="96" t="n"/>
      <c r="BD6" s="96" t="n"/>
      <c r="BE6" s="96" t="n"/>
      <c r="BF6" s="96" t="n"/>
      <c r="BG6" s="96" t="n"/>
      <c r="BH6" s="96" t="n"/>
      <c r="BI6" s="98" t="n"/>
      <c r="BU6" s="88" t="n"/>
      <c r="CB6" s="88" t="n"/>
      <c r="CJ6" s="89" t="n"/>
      <c r="CK6" s="89" t="n"/>
      <c r="CL6" s="89" t="n"/>
      <c r="CN6" s="89" t="n"/>
    </row>
    <row r="7" ht="55.7" customFormat="1" customHeight="1" s="74">
      <c r="D7" s="91" t="inlineStr">
        <is>
          <t>Agent's commision</t>
        </is>
      </c>
      <c r="E7" s="104" t="n"/>
      <c r="F7" s="93" t="n"/>
      <c r="H7" s="87" t="n"/>
      <c r="I7" s="87" t="n"/>
      <c r="J7" s="87" t="n"/>
      <c r="K7" s="87" t="n"/>
      <c r="L7" s="87" t="n"/>
      <c r="M7" s="90" t="n"/>
      <c r="N7" s="101" t="n"/>
      <c r="O7" s="90" t="n"/>
      <c r="R7" s="101" t="n"/>
      <c r="W7" s="105" t="n"/>
      <c r="AE7" s="90" t="n"/>
      <c r="AF7" s="90" t="n"/>
      <c r="AG7" s="90" t="n"/>
      <c r="AH7" s="90" t="n"/>
      <c r="AI7" s="90" t="n"/>
      <c r="AU7" s="190" t="n"/>
      <c r="AV7" s="190" t="n"/>
      <c r="AW7" s="190" t="n"/>
      <c r="AX7" s="95" t="n"/>
      <c r="BB7" s="96" t="n"/>
      <c r="BC7" s="96" t="n"/>
      <c r="BD7" s="96" t="n"/>
      <c r="BE7" s="96" t="n"/>
      <c r="BF7" s="96" t="n"/>
      <c r="BG7" s="96" t="n"/>
      <c r="BH7" s="96" t="n"/>
      <c r="BI7" s="98" t="n"/>
      <c r="BU7" s="88" t="n"/>
      <c r="CB7" s="88" t="n"/>
      <c r="CJ7" s="89" t="n"/>
      <c r="CK7" s="89" t="n"/>
      <c r="CL7" s="89" t="n"/>
      <c r="CN7" s="89" t="n"/>
    </row>
    <row r="8" ht="18" customHeight="1" s="189">
      <c r="D8" s="87" t="n"/>
      <c r="H8" s="106" t="n"/>
      <c r="I8" s="106" t="n"/>
      <c r="J8" s="106" t="n"/>
      <c r="K8" s="106" t="n"/>
      <c r="L8" s="106" t="n"/>
      <c r="O8" s="74" t="n"/>
      <c r="P8" s="107" t="n"/>
      <c r="U8" s="108" t="n"/>
      <c r="V8" s="108" t="n"/>
      <c r="Y8" s="74" t="n"/>
      <c r="Z8" s="74" t="n"/>
      <c r="AM8" s="74" t="n"/>
      <c r="AN8" s="74" t="n"/>
      <c r="AT8" s="87" t="n"/>
      <c r="AU8" s="191" t="n"/>
      <c r="AV8" s="191" t="n"/>
      <c r="AW8" s="192" t="n"/>
      <c r="AX8" s="111" t="n"/>
      <c r="AZ8" s="87" t="n"/>
      <c r="BA8" s="87" t="n"/>
      <c r="BB8" s="112" t="n"/>
      <c r="BC8" s="112" t="n"/>
      <c r="BD8" s="112" t="n"/>
      <c r="BE8" s="112" t="n"/>
      <c r="BF8" s="112" t="n"/>
      <c r="BG8" s="112" t="n"/>
      <c r="BH8" s="112" t="n"/>
      <c r="BO8" s="87" t="n"/>
      <c r="BU8" s="113" t="n"/>
      <c r="CB8" s="113" t="n"/>
      <c r="CC8" s="87" t="n"/>
      <c r="CD8" s="87" t="n"/>
      <c r="CE8" s="87" t="n"/>
      <c r="CF8" s="114" t="n"/>
      <c r="CJ8" s="115" t="n"/>
      <c r="CK8" s="115" t="n"/>
      <c r="CL8" s="115" t="n"/>
      <c r="CN8" s="115" t="n"/>
      <c r="CO8" s="116" t="n"/>
      <c r="CP8" s="116" t="n"/>
    </row>
    <row r="9" ht="18.75" customFormat="1" customHeight="1" s="85">
      <c r="D9" s="117" t="inlineStr">
        <is>
          <t>SAP number</t>
        </is>
      </c>
      <c r="E9" s="117" t="inlineStr">
        <is>
          <t>MANUFACTIRER INFO</t>
        </is>
      </c>
      <c r="F9" s="193" t="n"/>
      <c r="G9" s="194" t="n"/>
      <c r="H9" s="117" t="inlineStr">
        <is>
          <t>CERTIFICATION&amp;CUSTOM CLEARANCE</t>
        </is>
      </c>
      <c r="I9" s="193" t="n"/>
      <c r="J9" s="193" t="n"/>
      <c r="K9" s="193" t="n"/>
      <c r="L9" s="194" t="n"/>
      <c r="M9" s="117" t="inlineStr">
        <is>
          <t>COMMON ITEM DETAILS</t>
        </is>
      </c>
      <c r="N9" s="193" t="n"/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4" t="n"/>
      <c r="AD9" s="117" t="inlineStr">
        <is>
          <t>SPECIFIRC ITEM DETAILS</t>
        </is>
      </c>
      <c r="AE9" s="193" t="n"/>
      <c r="AF9" s="193" t="n"/>
      <c r="AG9" s="193" t="n"/>
      <c r="AH9" s="193" t="n"/>
      <c r="AI9" s="193" t="n"/>
      <c r="AJ9" s="193" t="n"/>
      <c r="AK9" s="193" t="n"/>
      <c r="AL9" s="193" t="n"/>
      <c r="AM9" s="193" t="n"/>
      <c r="AN9" s="193" t="n"/>
      <c r="AO9" s="194" t="n"/>
      <c r="AP9" s="118" t="inlineStr">
        <is>
          <t>INDIVIDUAL PACKAGE SPECIFICATION</t>
        </is>
      </c>
      <c r="AQ9" s="193" t="n"/>
      <c r="AR9" s="193" t="n"/>
      <c r="AS9" s="194" t="n"/>
      <c r="AT9" s="118" t="inlineStr">
        <is>
          <t>MOQ</t>
        </is>
      </c>
      <c r="AU9" s="117" t="inlineStr">
        <is>
          <t>PRICE</t>
        </is>
      </c>
      <c r="AV9" s="193" t="n"/>
      <c r="AW9" s="193" t="n"/>
      <c r="AX9" s="193" t="n"/>
      <c r="AY9" s="193" t="n"/>
      <c r="AZ9" s="194" t="n"/>
      <c r="BA9" s="117" t="n"/>
      <c r="BB9" s="117" t="inlineStr">
        <is>
          <t>ORDER Q-TY AND AMOUNT</t>
        </is>
      </c>
      <c r="BC9" s="193" t="n"/>
      <c r="BD9" s="193" t="n"/>
      <c r="BE9" s="193" t="n"/>
      <c r="BF9" s="193" t="n"/>
      <c r="BG9" s="193" t="n"/>
      <c r="BH9" s="193" t="n"/>
      <c r="BI9" s="194" t="n"/>
      <c r="BJ9" s="117" t="inlineStr">
        <is>
          <t>UNIT PACKAGE LOGISTIC DIMENSIONS</t>
        </is>
      </c>
      <c r="BK9" s="193" t="n"/>
      <c r="BL9" s="193" t="n"/>
      <c r="BM9" s="193" t="n"/>
      <c r="BN9" s="194" t="n"/>
      <c r="BO9" s="117" t="inlineStr">
        <is>
          <t>INNER CARTON LOGISTIC DIMENSIONS</t>
        </is>
      </c>
      <c r="BP9" s="193" t="n"/>
      <c r="BQ9" s="193" t="n"/>
      <c r="BR9" s="193" t="n"/>
      <c r="BS9" s="193" t="n"/>
      <c r="BT9" s="194" t="n"/>
      <c r="BU9" s="117" t="inlineStr">
        <is>
          <t>OUTER CARTON LOGISTIC DIMENSIONS</t>
        </is>
      </c>
      <c r="BV9" s="193" t="n"/>
      <c r="BW9" s="193" t="n"/>
      <c r="BX9" s="193" t="n"/>
      <c r="BY9" s="193" t="n"/>
      <c r="BZ9" s="193" t="n"/>
      <c r="CA9" s="194" t="n"/>
      <c r="CB9" s="117" t="inlineStr">
        <is>
          <t>PALLETS</t>
        </is>
      </c>
      <c r="CC9" s="194" t="n"/>
      <c r="CD9" s="117" t="inlineStr">
        <is>
          <t>TOTALS</t>
        </is>
      </c>
      <c r="CE9" s="193" t="n"/>
      <c r="CF9" s="193" t="n"/>
      <c r="CG9" s="193" t="n"/>
      <c r="CH9" s="193" t="n"/>
      <c r="CI9" s="194" t="n"/>
      <c r="CJ9" s="119" t="inlineStr">
        <is>
          <t>SHIPPING DETAILS</t>
        </is>
      </c>
      <c r="CK9" s="193" t="n"/>
      <c r="CL9" s="117" t="n"/>
      <c r="CM9" s="193" t="n"/>
      <c r="CN9" s="194" t="n"/>
    </row>
    <row r="10" ht="90.59999999999999" customFormat="1" customHeight="1" s="76">
      <c r="D10" s="121" t="inlineStr">
        <is>
          <t>SAP</t>
        </is>
      </c>
      <c r="E10" s="122" t="inlineStr">
        <is>
          <t>THE MANUFACTURER SPECIFIED ON THE LABEL</t>
        </is>
      </c>
      <c r="F10" s="91" t="inlineStr">
        <is>
          <t>THE ADDRESS OF THE ACTUAL MANUFACTURER SPECIFIED ON THE LABEL</t>
        </is>
      </c>
      <c r="G10" s="91" t="inlineStr">
        <is>
          <t>COUNTRY OF ORIGIN</t>
        </is>
      </c>
      <c r="H10" s="121" t="inlineStr">
        <is>
          <t>HARMONIZED CODE (ТН ВЭД)</t>
        </is>
      </c>
      <c r="I10" s="121" t="inlineStr">
        <is>
          <t>TAX (ПОШЛИНА)</t>
        </is>
      </c>
      <c r="J10" s="121" t="inlineStr">
        <is>
          <t xml:space="preserve">TYPE OF CERTIFICATE (ТИП РД) </t>
        </is>
      </c>
      <c r="K10" s="121" t="inlineStr">
        <is>
          <t>QTY OF SAMPLES (КОЛИЧЕСТВО ОБРАЗЦОВ для сертификации)</t>
        </is>
      </c>
      <c r="L10" s="121" t="inlineStr">
        <is>
          <t>VAT/НДС</t>
        </is>
      </c>
      <c r="M10" s="121" t="inlineStr">
        <is>
          <t>BRAND</t>
        </is>
      </c>
      <c r="N10" s="122" t="inlineStr">
        <is>
          <t>IMAGE / PICTURE</t>
        </is>
      </c>
      <c r="O10" s="123" t="inlineStr">
        <is>
          <t>НОВАЯ ПОЗИЦИЯ ИЛИ ВОЗИЛИ ОТ ЭТОГО ЖЕ ПОСТАВЩИКА</t>
        </is>
      </c>
      <c r="P10" s="122" t="inlineStr">
        <is>
          <t>ITEM № (MANUFACTURER)</t>
        </is>
      </c>
      <c r="Q10" s="121" t="inlineStr">
        <is>
          <t>ITEM №
(LENTA)</t>
        </is>
      </c>
      <c r="R10" s="121" t="inlineStr">
        <is>
          <t>UNIT BARCODE (EAN13)</t>
        </is>
      </c>
      <c r="S10" s="121" t="inlineStr">
        <is>
          <t>CARTON BARCODE (ITF14)</t>
        </is>
      </c>
      <c r="T10" s="121" t="inlineStr">
        <is>
          <t>ITEM NAME (RUSSIAN)</t>
        </is>
      </c>
      <c r="U10" s="122" t="inlineStr">
        <is>
          <t>DETAILED ITEM DESCRIPTION (IN ENGLISH)</t>
        </is>
      </c>
      <c r="V10" s="122" t="inlineStr">
        <is>
          <t>DETAILED ITEM DESCRIPTION (IN RUSSIAN)</t>
        </is>
      </c>
      <c r="W10" s="122" t="inlineStr">
        <is>
          <t>NAME (RUSSIAN) SAME AS ON STICKER</t>
        </is>
      </c>
      <c r="X10" s="122" t="inlineStr">
        <is>
          <t>FULL CONTENT OF ITEM/ SET (PART, DOCS, ETC)</t>
        </is>
      </c>
      <c r="Y10" s="91" t="inlineStr">
        <is>
          <t>ALL MATERIALS (SPECIFIED IN DETAILS)</t>
        </is>
      </c>
      <c r="Z10" s="121" t="inlineStr">
        <is>
          <t>ALL MATERIALS (RUSSIAN)</t>
        </is>
      </c>
      <c r="AA10" s="91" t="inlineStr">
        <is>
          <t>MIN. AGE OF USER</t>
        </is>
      </c>
      <c r="AB10" s="91" t="inlineStr">
        <is>
          <t>Size</t>
        </is>
      </c>
      <c r="AC10" s="91" t="inlineStr">
        <is>
          <t>COLOURS/ DESIGN OF ITEMS</t>
        </is>
      </c>
      <c r="AD10" s="122" t="inlineStr">
        <is>
          <t>TOP OF ITEM (for shoes only)</t>
        </is>
      </c>
      <c r="AE10" s="122" t="inlineStr">
        <is>
          <t>INSOLE (for shoes only)</t>
        </is>
      </c>
      <c r="AF10" s="122" t="inlineStr">
        <is>
          <t>LINING (for shoes only)</t>
        </is>
      </c>
      <c r="AG10" s="122" t="inlineStr">
        <is>
          <t>LINING (for shoes only)</t>
        </is>
      </c>
      <c r="AH10" s="122" t="inlineStr">
        <is>
          <t>SOLE (for shoes only)</t>
        </is>
      </c>
      <c r="AI10" s="122" t="inlineStr">
        <is>
          <t>SIZE</t>
        </is>
      </c>
      <c r="AJ10" s="122" t="inlineStr">
        <is>
          <t>DISHWASHER SAFE USE</t>
        </is>
      </c>
      <c r="AK10" s="122" t="inlineStr">
        <is>
          <t>MICROWAVE SAFE USE</t>
        </is>
      </c>
      <c r="AL10" s="122" t="inlineStr">
        <is>
          <t>Special details</t>
        </is>
      </c>
      <c r="AM10" s="122" t="inlineStr">
        <is>
          <t>Special details</t>
        </is>
      </c>
      <c r="AN10" s="122" t="inlineStr">
        <is>
          <t>Special details</t>
        </is>
      </c>
      <c r="AO10" s="123" t="inlineStr">
        <is>
          <t>POST-PRODUCTION SAMPLES. QTY PER DESIGN (IF REQUIRED)</t>
        </is>
      </c>
      <c r="AP10" s="121" t="inlineStr">
        <is>
          <t>DESIGN OF PACKAGE</t>
        </is>
      </c>
      <c r="AQ10" s="121" t="inlineStr">
        <is>
          <t>DMC</t>
        </is>
      </c>
      <c r="AR10" s="91" t="inlineStr">
        <is>
          <t>PACKING
(HOW TO PACK)</t>
        </is>
      </c>
      <c r="AS10" s="91" t="inlineStr">
        <is>
          <t>SIZE OF INDIVIDUAL PACKAGE</t>
        </is>
      </c>
      <c r="AT10" s="122" t="inlineStr">
        <is>
          <t>MOQ PER DESIGN/COLOUR</t>
        </is>
      </c>
      <c r="AU10" s="122" t="inlineStr">
        <is>
          <t>PREVIOUS PRICE CNY</t>
        </is>
      </c>
      <c r="AV10" s="122" t="inlineStr">
        <is>
          <t>ACTUAL PRICE CNY</t>
        </is>
      </c>
      <c r="AW10" s="195" t="inlineStr">
        <is>
          <t>Currency of order = currency of contract</t>
        </is>
      </c>
      <c r="AX10" s="196" t="inlineStr">
        <is>
          <t>Difference</t>
        </is>
      </c>
      <c r="AY10" s="126" t="inlineStr">
        <is>
          <t>SAVING, CNY</t>
        </is>
      </c>
      <c r="AZ10" s="127" t="inlineStr">
        <is>
          <t>PURCHASING PRICE, RUB (incl VAT)</t>
        </is>
      </c>
      <c r="BA10" s="91" t="inlineStr">
        <is>
          <t>DELIVERY BASIS</t>
        </is>
      </c>
      <c r="BB10" s="123" t="inlineStr">
        <is>
          <t xml:space="preserve">HM QTY </t>
        </is>
      </c>
      <c r="BC10" s="128" t="inlineStr">
        <is>
          <t>MP QTY</t>
        </is>
      </c>
      <c r="BD10" s="128" t="inlineStr">
        <is>
          <t xml:space="preserve">SM QTY </t>
        </is>
      </c>
      <c r="BE10" s="128" t="inlineStr">
        <is>
          <t>TOTAL QTY, PCS</t>
        </is>
      </c>
      <c r="BF10" s="128" t="n">
        <v>8003</v>
      </c>
      <c r="BG10" s="128" t="n">
        <v>8072</v>
      </c>
      <c r="BH10" s="128" t="inlineStr">
        <is>
          <t>Q-TY CHECK</t>
        </is>
      </c>
      <c r="BI10" s="123" t="inlineStr">
        <is>
          <t>TOTAL ORDER AMOUNT CNY</t>
        </is>
      </c>
      <c r="BJ10" s="122" t="inlineStr">
        <is>
          <t>UNIT NET WEIGHT, G</t>
        </is>
      </c>
      <c r="BK10" s="122" t="inlineStr">
        <is>
          <t>UNIT GROSS WEIGHT, G</t>
        </is>
      </c>
      <c r="BL10" s="122" t="inlineStr">
        <is>
          <t>UNIT PACKAGE LENGTH, MM</t>
        </is>
      </c>
      <c r="BM10" s="122" t="inlineStr">
        <is>
          <t>UNIT PACKAGE WIDTH, MM</t>
        </is>
      </c>
      <c r="BN10" s="122" t="inlineStr">
        <is>
          <t>UNIT PACKAGE HEIGHT, MM</t>
        </is>
      </c>
      <c r="BO10" s="122" t="inlineStr">
        <is>
          <t>PCS PER INNER CARTON</t>
        </is>
      </c>
      <c r="BP10" s="91" t="inlineStr">
        <is>
          <t>CARTON LENGTH, MM</t>
        </is>
      </c>
      <c r="BQ10" s="91" t="inlineStr">
        <is>
          <t>CARTON WIDTH, MM</t>
        </is>
      </c>
      <c r="BR10" s="91" t="inlineStr">
        <is>
          <t>CARTON HEIGHT, MM</t>
        </is>
      </c>
      <c r="BS10" s="91" t="inlineStr">
        <is>
          <t>CARTON NET WEIGHT, G</t>
        </is>
      </c>
      <c r="BT10" s="91" t="inlineStr">
        <is>
          <t>CARTON GROSS WEIGHT, G</t>
        </is>
      </c>
      <c r="BU10" s="122" t="inlineStr">
        <is>
          <t>PCS PER OUTER CARTON</t>
        </is>
      </c>
      <c r="BV10" s="91" t="inlineStr">
        <is>
          <t>CARTON LENGTH, MM</t>
        </is>
      </c>
      <c r="BW10" s="91" t="inlineStr">
        <is>
          <t>CARTON WIDTH, MM</t>
        </is>
      </c>
      <c r="BX10" s="91" t="inlineStr">
        <is>
          <t>CARTON HEIGHT, MM</t>
        </is>
      </c>
      <c r="BY10" s="91" t="inlineStr">
        <is>
          <t>CARTON NET WEIGHT, KG</t>
        </is>
      </c>
      <c r="BZ10" s="91" t="inlineStr">
        <is>
          <t>CARTON GROSS WEIGHT, KG</t>
        </is>
      </c>
      <c r="CA10" s="91" t="inlineStr">
        <is>
          <t>CARTON CBM</t>
        </is>
      </c>
      <c r="CB10" s="123" t="inlineStr">
        <is>
          <t>PCS PER LAYER</t>
        </is>
      </c>
      <c r="CC10" s="123" t="inlineStr">
        <is>
          <t>PCS PER PALLET</t>
        </is>
      </c>
      <c r="CD10" s="123" t="inlineStr">
        <is>
          <t>TOTAL INNER CARTONS</t>
        </is>
      </c>
      <c r="CE10" s="129" t="inlineStr">
        <is>
          <t>TOTAL OUTER CARTONS</t>
        </is>
      </c>
      <c r="CF10" s="129" t="inlineStr">
        <is>
          <t>PALLETS QTY</t>
        </is>
      </c>
      <c r="CG10" s="123" t="inlineStr">
        <is>
          <t>TOTAL NET WEIGHT, KG</t>
        </is>
      </c>
      <c r="CH10" s="123" t="inlineStr">
        <is>
          <t>TOTAL GROSS WEIGHT, KG</t>
        </is>
      </c>
      <c r="CI10" s="197" t="inlineStr">
        <is>
          <t>TOTAL CBM</t>
        </is>
      </c>
      <c r="CJ10" s="122" t="inlineStr">
        <is>
          <t>PORT OF LOADING</t>
        </is>
      </c>
      <c r="CK10" s="123" t="inlineStr">
        <is>
          <t>ETD</t>
        </is>
      </c>
      <c r="CL10" s="123" t="inlineStr">
        <is>
          <t>GOODS IN DC</t>
        </is>
      </c>
      <c r="CM10" s="123" t="inlineStr">
        <is>
          <t>Дата на ТК/Date at store</t>
        </is>
      </c>
      <c r="CN10" s="123" t="inlineStr">
        <is>
          <t>Приоритет/Priority High/Catalogue</t>
        </is>
      </c>
      <c r="CP10" s="131" t="n"/>
      <c r="CQ10" s="131" t="n"/>
    </row>
    <row r="11" ht="18" customFormat="1" customHeight="1" s="85">
      <c r="D11" s="118" t="n">
        <v>1</v>
      </c>
      <c r="E11" s="118" t="n">
        <v>2</v>
      </c>
      <c r="F11" s="118" t="n">
        <v>3</v>
      </c>
      <c r="G11" s="118" t="n">
        <v>4</v>
      </c>
      <c r="H11" s="118" t="n">
        <v>5</v>
      </c>
      <c r="I11" s="118" t="n">
        <v>6</v>
      </c>
      <c r="J11" s="118" t="n">
        <v>7</v>
      </c>
      <c r="K11" s="118" t="n">
        <v>8</v>
      </c>
      <c r="L11" s="118" t="n">
        <v>9</v>
      </c>
      <c r="M11" s="118" t="n">
        <v>10</v>
      </c>
      <c r="N11" s="118" t="n">
        <v>11</v>
      </c>
      <c r="O11" s="118" t="n">
        <v>12</v>
      </c>
      <c r="P11" s="118" t="n">
        <v>13</v>
      </c>
      <c r="Q11" s="118" t="n">
        <v>14</v>
      </c>
      <c r="R11" s="118" t="n">
        <v>15</v>
      </c>
      <c r="S11" s="118" t="n">
        <v>16</v>
      </c>
      <c r="T11" s="118" t="n">
        <v>17</v>
      </c>
      <c r="U11" s="118" t="n">
        <v>18</v>
      </c>
      <c r="V11" s="118" t="n">
        <v>19</v>
      </c>
      <c r="W11" s="118" t="n">
        <v>20</v>
      </c>
      <c r="X11" s="118" t="n">
        <v>21</v>
      </c>
      <c r="Y11" s="118" t="n">
        <v>22</v>
      </c>
      <c r="Z11" s="118" t="n">
        <v>23</v>
      </c>
      <c r="AA11" s="118" t="n">
        <v>24</v>
      </c>
      <c r="AB11" s="118" t="n">
        <v>25</v>
      </c>
      <c r="AC11" s="118" t="n">
        <v>26</v>
      </c>
      <c r="AD11" s="118" t="n">
        <v>27</v>
      </c>
      <c r="AE11" s="118" t="n">
        <v>28</v>
      </c>
      <c r="AF11" s="118" t="n">
        <v>29</v>
      </c>
      <c r="AG11" s="118" t="n">
        <v>30</v>
      </c>
      <c r="AH11" s="118" t="n">
        <v>31</v>
      </c>
      <c r="AI11" s="118" t="n">
        <v>32</v>
      </c>
      <c r="AJ11" s="118" t="n">
        <v>33</v>
      </c>
      <c r="AK11" s="118" t="n">
        <v>34</v>
      </c>
      <c r="AL11" s="118" t="n">
        <v>35</v>
      </c>
      <c r="AM11" s="118" t="n">
        <v>36</v>
      </c>
      <c r="AN11" s="118" t="n">
        <v>37</v>
      </c>
      <c r="AO11" s="118" t="n">
        <v>38</v>
      </c>
      <c r="AP11" s="118" t="n">
        <v>39</v>
      </c>
      <c r="AQ11" s="118" t="n">
        <v>40</v>
      </c>
      <c r="AR11" s="118" t="n">
        <v>41</v>
      </c>
      <c r="AS11" s="118" t="n">
        <v>42</v>
      </c>
      <c r="AT11" s="118" t="n">
        <v>43</v>
      </c>
      <c r="AU11" s="118" t="n">
        <v>44</v>
      </c>
      <c r="AV11" s="118" t="n">
        <v>45</v>
      </c>
      <c r="AW11" s="118" t="n">
        <v>46</v>
      </c>
      <c r="AX11" s="118" t="n">
        <v>47</v>
      </c>
      <c r="AY11" s="118" t="n">
        <v>48</v>
      </c>
      <c r="AZ11" s="118" t="n">
        <v>49</v>
      </c>
      <c r="BA11" s="118" t="n">
        <v>50</v>
      </c>
      <c r="BB11" s="118" t="n">
        <v>51</v>
      </c>
      <c r="BC11" s="118" t="n">
        <v>52</v>
      </c>
      <c r="BD11" s="118" t="n">
        <v>53</v>
      </c>
      <c r="BE11" s="118" t="n">
        <v>54</v>
      </c>
      <c r="BF11" s="118" t="n">
        <v>55</v>
      </c>
      <c r="BG11" s="118" t="n">
        <v>56</v>
      </c>
      <c r="BH11" s="118" t="n">
        <v>57</v>
      </c>
      <c r="BI11" s="118" t="n">
        <v>58</v>
      </c>
      <c r="BJ11" s="118" t="n">
        <v>59</v>
      </c>
      <c r="BK11" s="118" t="n">
        <v>60</v>
      </c>
      <c r="BL11" s="118" t="n">
        <v>61</v>
      </c>
      <c r="BM11" s="118" t="n">
        <v>62</v>
      </c>
      <c r="BN11" s="118" t="n">
        <v>63</v>
      </c>
      <c r="BO11" s="118" t="n">
        <v>64</v>
      </c>
      <c r="BP11" s="118" t="n">
        <v>65</v>
      </c>
      <c r="BQ11" s="118" t="n">
        <v>66</v>
      </c>
      <c r="BR11" s="118" t="n">
        <v>67</v>
      </c>
      <c r="BS11" s="118" t="n">
        <v>68</v>
      </c>
      <c r="BT11" s="118" t="n">
        <v>69</v>
      </c>
      <c r="BU11" s="118" t="n">
        <v>70</v>
      </c>
      <c r="BV11" s="118" t="n">
        <v>71</v>
      </c>
      <c r="BW11" s="118" t="n">
        <v>72</v>
      </c>
      <c r="BX11" s="118" t="n">
        <v>73</v>
      </c>
      <c r="BY11" s="118" t="n">
        <v>74</v>
      </c>
      <c r="BZ11" s="118" t="n">
        <v>75</v>
      </c>
      <c r="CA11" s="118" t="n">
        <v>76</v>
      </c>
      <c r="CB11" s="118" t="n">
        <v>77</v>
      </c>
      <c r="CC11" s="118" t="n">
        <v>78</v>
      </c>
      <c r="CD11" s="118" t="n">
        <v>79</v>
      </c>
      <c r="CE11" s="118" t="n">
        <v>80</v>
      </c>
      <c r="CF11" s="118" t="n">
        <v>81</v>
      </c>
      <c r="CG11" s="118" t="n">
        <v>82</v>
      </c>
      <c r="CH11" s="118" t="n">
        <v>83</v>
      </c>
      <c r="CI11" s="118" t="n">
        <v>84</v>
      </c>
      <c r="CJ11" s="118" t="n">
        <v>85</v>
      </c>
      <c r="CK11" s="118" t="n">
        <v>86</v>
      </c>
      <c r="CL11" s="118" t="n">
        <v>87</v>
      </c>
      <c r="CM11" s="118" t="n">
        <v>88</v>
      </c>
      <c r="CN11" s="118" t="n">
        <v>89</v>
      </c>
      <c r="CP11" s="132" t="n"/>
    </row>
    <row r="12" ht="285" customFormat="1" customHeight="1" s="107">
      <c r="A12" s="133" t="n"/>
      <c r="B12" s="133" t="n"/>
      <c r="C12" s="133" t="n"/>
      <c r="D12" s="134" t="n"/>
      <c r="E12" s="135" t="inlineStr">
        <is>
          <t>Fujian Hannah's Cottage Co.,LTD</t>
        </is>
      </c>
      <c r="F12" s="135" t="n"/>
      <c r="G12" s="136" t="n"/>
      <c r="H12" s="137" t="n"/>
      <c r="I12" s="138" t="n"/>
      <c r="J12" s="139" t="n"/>
      <c r="K12" s="139" t="n"/>
      <c r="L12" s="139" t="n"/>
      <c r="M12" s="198" t="n"/>
      <c r="N12" s="141" t="inlineStr"/>
      <c r="O12" s="139" t="n"/>
      <c r="P12" s="142" t="inlineStr">
        <is>
          <t>EG01-P2-BTS5006S06S05 \ BTS5006A04</t>
        </is>
      </c>
      <c r="Q12" s="143" t="n"/>
      <c r="R12" s="144" t="n"/>
      <c r="S12" s="144" t="n"/>
      <c r="T12" s="199" t="n"/>
      <c r="U12" s="200" t="inlineStr">
        <is>
          <t>S/31 5CM+4CM+3CM+2.5CM+2CM+9.5CM RED+GREEN+GOLD / SILVER+PINK+WHITE / CHAMPANGE+COPPER+BROWN SHINY/GLITTER/MATT PLASTIC BALL TREE</t>
        </is>
      </c>
      <c r="W12" s="147" t="n"/>
      <c r="X12" s="136" t="n"/>
      <c r="Y12" s="148" t="n"/>
      <c r="Z12" s="136" t="n"/>
      <c r="AA12" s="136" t="n"/>
      <c r="AB12" s="136" t="n"/>
      <c r="AC12" s="136" t="n"/>
      <c r="AD12" s="139" t="n"/>
      <c r="AE12" s="139" t="n"/>
      <c r="AF12" s="139" t="n"/>
      <c r="AG12" s="139" t="n"/>
      <c r="AH12" s="139" t="n"/>
      <c r="AI12" s="135" t="n"/>
      <c r="AJ12" s="136" t="n"/>
      <c r="AK12" s="136" t="n"/>
      <c r="AL12" s="136" t="n"/>
      <c r="AM12" s="136" t="n"/>
      <c r="AN12" s="136" t="n"/>
      <c r="AO12" s="201" t="n"/>
      <c r="AP12" s="201" t="n"/>
      <c r="AQ12" s="201" t="n"/>
      <c r="AR12" s="201" t="n"/>
      <c r="AS12" s="136" t="n"/>
      <c r="AT12" s="150" t="n">
        <v>3000</v>
      </c>
      <c r="AU12" s="202" t="n"/>
      <c r="AV12" s="203" t="n">
        <v>24.08</v>
      </c>
      <c r="AW12" s="204" t="n"/>
      <c r="AX12" s="154">
        <f>AV12/AU12-1</f>
        <v/>
      </c>
      <c r="AY12" s="155" t="n"/>
      <c r="AZ12" s="156" t="n"/>
      <c r="BA12" s="156" t="inlineStr">
        <is>
          <t>FOB</t>
        </is>
      </c>
      <c r="BB12" s="205" t="n"/>
      <c r="BC12" s="205" t="n"/>
      <c r="BD12" s="205" t="n"/>
      <c r="BE12" s="205">
        <f>BD12+BC12+BB12</f>
        <v/>
      </c>
      <c r="BF12" s="205" t="n"/>
      <c r="BG12" s="205" t="n"/>
      <c r="BH12" s="158">
        <f>(BF12+BG12)=BE12</f>
        <v/>
      </c>
      <c r="BI12" s="205">
        <f>AV12*BE12</f>
        <v/>
      </c>
      <c r="BJ12" s="206" t="n"/>
      <c r="BK12" s="206" t="n"/>
      <c r="BL12" s="206" t="n"/>
      <c r="BM12" s="206" t="n"/>
      <c r="BN12" s="206" t="n"/>
      <c r="BO12" s="160" t="n"/>
      <c r="BP12" s="161" t="n"/>
      <c r="BQ12" s="161" t="n"/>
      <c r="BR12" s="161" t="n"/>
      <c r="BS12" s="161" t="n"/>
      <c r="BT12" s="161" t="n"/>
      <c r="BU12" s="160" t="n"/>
      <c r="BV12" s="207" t="n">
        <v>605</v>
      </c>
      <c r="BW12" s="207" t="n">
        <v>10</v>
      </c>
      <c r="BX12" s="207" t="n">
        <v>470</v>
      </c>
      <c r="BY12" s="207" t="n">
        <v>3000</v>
      </c>
      <c r="BZ12" s="207" t="n">
        <v>4000</v>
      </c>
      <c r="CA12" s="208">
        <f>#REF!*#REF!*#REF!/1000000000</f>
        <v/>
      </c>
      <c r="CB12" s="160" t="n"/>
      <c r="CC12" s="160" t="n"/>
      <c r="CD12" s="164">
        <f>$BE12/BO12</f>
        <v/>
      </c>
      <c r="CE12" s="164">
        <f>$BE12/BU12</f>
        <v/>
      </c>
      <c r="CF12" s="164">
        <f>$BE12/CC12</f>
        <v/>
      </c>
      <c r="CG12" s="209">
        <f>$BE12*#REF!</f>
        <v/>
      </c>
      <c r="CH12" s="209">
        <f>$BE12*#REF!</f>
        <v/>
      </c>
      <c r="CI12" s="210">
        <f>CA12*CE12</f>
        <v/>
      </c>
      <c r="CJ12" s="136" t="inlineStr">
        <is>
          <t>NINGBO</t>
        </is>
      </c>
      <c r="CK12" s="167">
        <f>CL12-75</f>
        <v/>
      </c>
      <c r="CL12" s="168" t="n">
        <v>46113</v>
      </c>
      <c r="CM12" s="168" t="n"/>
      <c r="CN12" s="169" t="n"/>
      <c r="CP12" s="170" t="n"/>
      <c r="CQ12" s="211" t="n"/>
    </row>
    <row r="13" ht="26.25" customFormat="1" customHeight="1" s="78">
      <c r="A13" s="133" t="n"/>
      <c r="B13" s="133" t="n"/>
      <c r="C13" s="133" t="n"/>
      <c r="D13" s="134" t="n"/>
      <c r="E13" s="135" t="n"/>
      <c r="F13" s="135" t="n"/>
      <c r="G13" s="136" t="n"/>
      <c r="H13" s="137" t="n"/>
      <c r="I13" s="138" t="n"/>
      <c r="J13" s="139" t="n"/>
      <c r="K13" s="139" t="n"/>
      <c r="L13" s="139" t="n"/>
      <c r="M13" s="212" t="n"/>
      <c r="N13" s="141" t="inlineStr"/>
      <c r="O13" s="139" t="n"/>
      <c r="P13" s="142" t="inlineStr">
        <is>
          <t>EG01-LT24S159/61/65/66</t>
        </is>
      </c>
      <c r="Q13" s="143" t="n"/>
      <c r="R13" s="144" t="n"/>
      <c r="S13" s="144" t="n"/>
      <c r="T13" s="199" t="n"/>
      <c r="U13" s="200" t="inlineStr">
        <is>
          <t>8CM RED/GREEN/CHAMPAGNE GOLD MATT PLASTIC BALL WITH PAINTING</t>
        </is>
      </c>
      <c r="W13" s="147" t="n"/>
      <c r="X13" s="136" t="n"/>
      <c r="Y13" s="148" t="n"/>
      <c r="Z13" s="136" t="n"/>
      <c r="AA13" s="136" t="n"/>
      <c r="AB13" s="136" t="n"/>
      <c r="AC13" s="136" t="n"/>
      <c r="AD13" s="139" t="n"/>
      <c r="AE13" s="139" t="n"/>
      <c r="AF13" s="139" t="n"/>
      <c r="AG13" s="139" t="n"/>
      <c r="AH13" s="139" t="n"/>
      <c r="AI13" s="135" t="n"/>
      <c r="AJ13" s="136" t="n"/>
      <c r="AK13" s="136" t="n"/>
      <c r="AL13" s="136" t="n"/>
      <c r="AM13" s="136" t="n"/>
      <c r="AN13" s="136" t="n"/>
      <c r="AO13" s="213" t="n"/>
      <c r="AP13" s="213" t="n"/>
      <c r="AQ13" s="213" t="n"/>
      <c r="AR13" s="213" t="n"/>
      <c r="AS13" s="136" t="n"/>
      <c r="AT13" s="150" t="n"/>
      <c r="AU13" s="214" t="n"/>
      <c r="AV13" s="215" t="n">
        <v>1.73</v>
      </c>
      <c r="AW13" s="216" t="n"/>
      <c r="AX13" s="217" t="n"/>
      <c r="AY13" s="218" t="n"/>
      <c r="AZ13" s="156" t="n"/>
      <c r="BA13" s="156" t="n"/>
      <c r="BB13" s="219" t="n"/>
      <c r="BC13" s="219" t="n"/>
      <c r="BD13" s="219" t="n"/>
      <c r="BE13" s="219" t="n"/>
      <c r="BF13" s="219" t="n"/>
      <c r="BG13" s="219" t="n"/>
      <c r="BH13" s="220" t="n"/>
      <c r="BI13" s="219" t="n"/>
      <c r="BJ13" s="206" t="n"/>
      <c r="BK13" s="206" t="n"/>
      <c r="BL13" s="206" t="n"/>
      <c r="BM13" s="206" t="n"/>
      <c r="BN13" s="206" t="n"/>
      <c r="BO13" s="118" t="n"/>
      <c r="BP13" s="161" t="n"/>
      <c r="BQ13" s="161" t="n"/>
      <c r="BR13" s="161" t="n"/>
      <c r="BS13" s="161" t="n"/>
      <c r="BT13" s="161" t="n"/>
      <c r="BU13" s="118" t="n"/>
      <c r="BV13" s="207" t="n">
        <v>340</v>
      </c>
      <c r="BW13" s="207" t="n">
        <v>20</v>
      </c>
      <c r="BX13" s="207" t="n">
        <v>265</v>
      </c>
      <c r="BY13" s="207" t="n">
        <v>900</v>
      </c>
      <c r="BZ13" s="207" t="n">
        <v>1300</v>
      </c>
      <c r="CA13" s="208" t="n"/>
      <c r="CB13" s="118" t="n"/>
      <c r="CC13" s="118" t="n"/>
      <c r="CD13" s="118" t="n"/>
      <c r="CE13" s="118" t="n"/>
      <c r="CF13" s="118" t="n"/>
      <c r="CG13" s="209" t="n"/>
      <c r="CH13" s="209" t="n"/>
      <c r="CI13" s="210" t="n"/>
      <c r="CJ13" s="136" t="n"/>
      <c r="CK13" s="167" t="n"/>
      <c r="CL13" s="221" t="n"/>
      <c r="CM13" s="221" t="n"/>
      <c r="CN13" s="222" t="n"/>
      <c r="CP13" s="170" t="n"/>
      <c r="CQ13" s="211" t="n"/>
    </row>
    <row r="14" ht="26.1" customHeight="1" s="189">
      <c r="A14" s="133" t="n"/>
      <c r="B14" s="133" t="n"/>
      <c r="C14" s="133" t="n"/>
      <c r="D14" s="134" t="n"/>
      <c r="E14" s="135" t="n"/>
      <c r="F14" s="135" t="n"/>
      <c r="G14" s="136" t="n"/>
      <c r="H14" s="137" t="n"/>
      <c r="I14" s="138" t="n"/>
      <c r="J14" s="139" t="n"/>
      <c r="K14" s="139" t="n"/>
      <c r="L14" s="139" t="n"/>
      <c r="M14" s="212" t="n"/>
      <c r="N14" s="141" t="inlineStr"/>
      <c r="O14" s="139" t="n"/>
      <c r="P14" s="142" t="inlineStr">
        <is>
          <t>EG01-LT24S174</t>
        </is>
      </c>
      <c r="Q14" s="143" t="n"/>
      <c r="R14" s="144" t="n"/>
      <c r="S14" s="144" t="n"/>
      <c r="T14" s="199" t="n"/>
      <c r="U14" s="200" t="inlineStr">
        <is>
          <t>8CM TRANSPARENT PLASTIC BALL WITH PAINTING</t>
        </is>
      </c>
      <c r="W14" s="147" t="n"/>
      <c r="X14" s="136" t="n"/>
      <c r="Y14" s="148" t="n"/>
      <c r="Z14" s="136" t="n"/>
      <c r="AA14" s="136" t="n"/>
      <c r="AB14" s="136" t="n"/>
      <c r="AC14" s="136" t="n"/>
      <c r="AD14" s="139" t="n"/>
      <c r="AE14" s="139" t="n"/>
      <c r="AF14" s="139" t="n"/>
      <c r="AG14" s="139" t="n"/>
      <c r="AH14" s="139" t="n"/>
      <c r="AI14" s="135" t="n"/>
      <c r="AJ14" s="136" t="n"/>
      <c r="AK14" s="136" t="n"/>
      <c r="AL14" s="136" t="n"/>
      <c r="AM14" s="136" t="n"/>
      <c r="AN14" s="136" t="n"/>
      <c r="AO14" s="213" t="n"/>
      <c r="AP14" s="213" t="n"/>
      <c r="AQ14" s="213" t="n"/>
      <c r="AR14" s="213" t="n"/>
      <c r="AS14" s="136" t="n"/>
      <c r="AT14" s="150" t="n"/>
      <c r="AU14" s="214" t="n"/>
      <c r="AV14" s="215" t="n">
        <v>1.3</v>
      </c>
      <c r="AW14" s="216" t="n"/>
      <c r="AX14" s="217" t="n"/>
      <c r="AY14" s="218" t="n"/>
      <c r="AZ14" s="156" t="n"/>
      <c r="BA14" s="156" t="n"/>
      <c r="BB14" s="219" t="n"/>
      <c r="BC14" s="219" t="n"/>
      <c r="BD14" s="219" t="n"/>
      <c r="BE14" s="219" t="n"/>
      <c r="BF14" s="219" t="n"/>
      <c r="BG14" s="219" t="n"/>
      <c r="BH14" s="220" t="n"/>
      <c r="BI14" s="219" t="n"/>
      <c r="BJ14" s="206" t="n"/>
      <c r="BK14" s="206" t="n"/>
      <c r="BL14" s="206" t="n"/>
      <c r="BM14" s="206" t="n"/>
      <c r="BN14" s="206" t="n"/>
      <c r="BO14" s="118" t="n"/>
      <c r="BP14" s="161" t="n"/>
      <c r="BQ14" s="161" t="n"/>
      <c r="BR14" s="161" t="n"/>
      <c r="BS14" s="161" t="n"/>
      <c r="BT14" s="161" t="n"/>
      <c r="BU14" s="118" t="n"/>
      <c r="BV14" s="207" t="n">
        <v>340</v>
      </c>
      <c r="BW14" s="207" t="n">
        <v>30</v>
      </c>
      <c r="BX14" s="207" t="n">
        <v>265</v>
      </c>
      <c r="BY14" s="207" t="n">
        <v>700</v>
      </c>
      <c r="BZ14" s="207" t="n">
        <v>1000</v>
      </c>
      <c r="CA14" s="208" t="n"/>
      <c r="CB14" s="118" t="n"/>
      <c r="CC14" s="118" t="n"/>
      <c r="CD14" s="118" t="n"/>
      <c r="CE14" s="118" t="n"/>
      <c r="CF14" s="118" t="n"/>
      <c r="CG14" s="209" t="n"/>
      <c r="CH14" s="209" t="n"/>
      <c r="CI14" s="210" t="n"/>
      <c r="CJ14" s="136" t="n"/>
      <c r="CK14" s="167" t="n"/>
      <c r="CL14" s="221" t="n"/>
      <c r="CM14" s="221" t="n"/>
      <c r="CN14" s="222" t="n"/>
      <c r="CP14" s="170" t="n"/>
      <c r="CQ14" s="211" t="n"/>
    </row>
    <row r="15" ht="18" customHeight="1" s="189">
      <c r="A15" s="133" t="n"/>
      <c r="B15" s="133" t="n"/>
      <c r="C15" s="133" t="n"/>
      <c r="D15" s="134" t="n"/>
      <c r="E15" s="135" t="n"/>
      <c r="F15" s="135" t="n"/>
      <c r="G15" s="136" t="n"/>
      <c r="H15" s="137" t="n"/>
      <c r="I15" s="138" t="n"/>
      <c r="J15" s="139" t="n"/>
      <c r="K15" s="139" t="n"/>
      <c r="L15" s="139" t="n"/>
      <c r="M15" s="212" t="n"/>
      <c r="N15" s="141" t="inlineStr"/>
      <c r="O15" s="139" t="n"/>
      <c r="P15" s="142" t="inlineStr">
        <is>
          <t>S76KR2971-YG</t>
        </is>
      </c>
      <c r="Q15" s="143" t="n"/>
      <c r="R15" s="144" t="n"/>
      <c r="S15" s="144" t="n"/>
      <c r="T15" s="199" t="n"/>
      <c r="U15" s="200" t="inlineStr">
        <is>
          <t>7CM BROWN/BLUE/COPPER SHINY PLASTIC BALL WITH PAINTING</t>
        </is>
      </c>
      <c r="W15" s="147" t="n"/>
      <c r="X15" s="136" t="n"/>
      <c r="Y15" s="148" t="n"/>
      <c r="Z15" s="136" t="n"/>
      <c r="AA15" s="136" t="n"/>
      <c r="AB15" s="136" t="n"/>
      <c r="AC15" s="136" t="n"/>
      <c r="AD15" s="139" t="n"/>
      <c r="AE15" s="139" t="n"/>
      <c r="AF15" s="139" t="n"/>
      <c r="AG15" s="139" t="n"/>
      <c r="AH15" s="139" t="n"/>
      <c r="AI15" s="135" t="n"/>
      <c r="AJ15" s="136" t="n"/>
      <c r="AK15" s="136" t="n"/>
      <c r="AL15" s="136" t="n"/>
      <c r="AM15" s="136" t="n"/>
      <c r="AN15" s="136" t="n"/>
      <c r="AO15" s="213" t="n"/>
      <c r="AP15" s="213" t="n"/>
      <c r="AQ15" s="213" t="n"/>
      <c r="AR15" s="213" t="n"/>
      <c r="AS15" s="136" t="n"/>
      <c r="AT15" s="150" t="n"/>
      <c r="AU15" s="214" t="n"/>
      <c r="AV15" s="215" t="n">
        <v>1.51</v>
      </c>
      <c r="AW15" s="216" t="n"/>
      <c r="AX15" s="217" t="n"/>
      <c r="AY15" s="218" t="n"/>
      <c r="AZ15" s="156" t="n"/>
      <c r="BA15" s="156" t="n"/>
      <c r="BB15" s="219" t="n"/>
      <c r="BC15" s="219" t="n"/>
      <c r="BD15" s="219" t="n"/>
      <c r="BE15" s="219" t="n"/>
      <c r="BF15" s="219" t="n"/>
      <c r="BG15" s="219" t="n"/>
      <c r="BH15" s="220" t="n"/>
      <c r="BI15" s="219" t="n"/>
      <c r="BJ15" s="206" t="n"/>
      <c r="BK15" s="206" t="n"/>
      <c r="BL15" s="206" t="n"/>
      <c r="BM15" s="206" t="n"/>
      <c r="BN15" s="206" t="n"/>
      <c r="BO15" s="118" t="n"/>
      <c r="BP15" s="161" t="n"/>
      <c r="BQ15" s="161" t="n"/>
      <c r="BR15" s="161" t="n"/>
      <c r="BS15" s="161" t="n"/>
      <c r="BT15" s="161" t="n"/>
      <c r="BU15" s="118" t="n"/>
      <c r="BV15" s="207" t="n">
        <v>300</v>
      </c>
      <c r="BW15" s="207" t="n">
        <v>40</v>
      </c>
      <c r="BX15" s="207" t="n">
        <v>235</v>
      </c>
      <c r="BY15" s="207" t="n">
        <v>570</v>
      </c>
      <c r="BZ15" s="207" t="n">
        <v>800</v>
      </c>
      <c r="CA15" s="208" t="n"/>
      <c r="CB15" s="118" t="n"/>
      <c r="CC15" s="118" t="n"/>
      <c r="CD15" s="118" t="n"/>
      <c r="CE15" s="118" t="n"/>
      <c r="CF15" s="118" t="n"/>
      <c r="CG15" s="209" t="n"/>
      <c r="CH15" s="209" t="n"/>
      <c r="CI15" s="210" t="n"/>
      <c r="CJ15" s="136" t="n"/>
      <c r="CK15" s="167" t="n"/>
      <c r="CL15" s="221" t="n"/>
      <c r="CM15" s="221" t="n"/>
      <c r="CN15" s="222" t="n"/>
      <c r="CP15" s="170" t="n"/>
      <c r="CQ15" s="211" t="n"/>
    </row>
    <row r="16" ht="18" customHeight="1" s="189">
      <c r="A16" s="133" t="n"/>
      <c r="B16" s="133" t="n"/>
      <c r="C16" s="133" t="n"/>
      <c r="D16" s="134" t="n"/>
      <c r="E16" s="135" t="n"/>
      <c r="F16" s="135" t="n"/>
      <c r="G16" s="136" t="n"/>
      <c r="H16" s="137" t="n"/>
      <c r="I16" s="138" t="n"/>
      <c r="J16" s="139" t="n"/>
      <c r="K16" s="139" t="n"/>
      <c r="L16" s="139" t="n"/>
      <c r="M16" s="212" t="n"/>
      <c r="N16" s="141" t="inlineStr"/>
      <c r="O16" s="139" t="n"/>
      <c r="P16" s="142" t="inlineStr">
        <is>
          <t>S20KR1402-YG</t>
        </is>
      </c>
      <c r="Q16" s="143" t="n"/>
      <c r="R16" s="144" t="n"/>
      <c r="S16" s="144" t="n"/>
      <c r="T16" s="199" t="n"/>
      <c r="U16" s="200" t="inlineStr">
        <is>
          <t>8CM WHITE/SILVER/BLUE/PINK SHINY PLASTIC BALL WITH PAINTING</t>
        </is>
      </c>
      <c r="W16" s="147" t="n"/>
      <c r="X16" s="136" t="n"/>
      <c r="Y16" s="148" t="n"/>
      <c r="Z16" s="136" t="n"/>
      <c r="AA16" s="136" t="n"/>
      <c r="AB16" s="136" t="n"/>
      <c r="AC16" s="136" t="n"/>
      <c r="AD16" s="139" t="n"/>
      <c r="AE16" s="139" t="n"/>
      <c r="AF16" s="139" t="n"/>
      <c r="AG16" s="139" t="n"/>
      <c r="AH16" s="139" t="n"/>
      <c r="AI16" s="135" t="n"/>
      <c r="AJ16" s="136" t="n"/>
      <c r="AK16" s="136" t="n"/>
      <c r="AL16" s="136" t="n"/>
      <c r="AM16" s="136" t="n"/>
      <c r="AN16" s="136" t="n"/>
      <c r="AO16" s="213" t="n"/>
      <c r="AP16" s="213" t="n"/>
      <c r="AQ16" s="213" t="n"/>
      <c r="AR16" s="213" t="n"/>
      <c r="AS16" s="136" t="n"/>
      <c r="AT16" s="150" t="n"/>
      <c r="AU16" s="214" t="n"/>
      <c r="AV16" s="215" t="n">
        <v>2.09</v>
      </c>
      <c r="AW16" s="216" t="n"/>
      <c r="AX16" s="217" t="n"/>
      <c r="AY16" s="218" t="n"/>
      <c r="AZ16" s="156" t="n"/>
      <c r="BA16" s="156" t="n"/>
      <c r="BB16" s="219" t="n"/>
      <c r="BC16" s="219" t="n"/>
      <c r="BD16" s="219" t="n"/>
      <c r="BE16" s="219" t="n"/>
      <c r="BF16" s="219" t="n"/>
      <c r="BG16" s="219" t="n"/>
      <c r="BH16" s="220" t="n"/>
      <c r="BI16" s="219" t="n"/>
      <c r="BJ16" s="206" t="n"/>
      <c r="BK16" s="206" t="n"/>
      <c r="BL16" s="206" t="n"/>
      <c r="BM16" s="206" t="n"/>
      <c r="BN16" s="206" t="n"/>
      <c r="BO16" s="118" t="n"/>
      <c r="BP16" s="161" t="n"/>
      <c r="BQ16" s="161" t="n"/>
      <c r="BR16" s="161" t="n"/>
      <c r="BS16" s="161" t="n"/>
      <c r="BT16" s="161" t="n"/>
      <c r="BU16" s="118" t="n"/>
      <c r="BV16" s="207" t="n">
        <v>335</v>
      </c>
      <c r="BW16" s="207" t="n">
        <v>50</v>
      </c>
      <c r="BX16" s="207" t="n">
        <v>260</v>
      </c>
      <c r="BY16" s="207" t="n">
        <v>830</v>
      </c>
      <c r="BZ16" s="207" t="n">
        <v>1100</v>
      </c>
      <c r="CA16" s="208" t="n"/>
      <c r="CB16" s="118" t="n"/>
      <c r="CC16" s="118" t="n"/>
      <c r="CD16" s="118" t="n"/>
      <c r="CE16" s="118" t="n"/>
      <c r="CF16" s="118" t="n"/>
      <c r="CG16" s="209" t="n"/>
      <c r="CH16" s="209" t="n"/>
      <c r="CI16" s="210" t="n"/>
      <c r="CJ16" s="136" t="n"/>
      <c r="CK16" s="167" t="n"/>
      <c r="CL16" s="221" t="n"/>
      <c r="CM16" s="221" t="n"/>
      <c r="CN16" s="222" t="n"/>
      <c r="CP16" s="170" t="n"/>
      <c r="CQ16" s="211" t="n"/>
    </row>
    <row r="17" ht="18" customHeight="1" s="189">
      <c r="A17" s="133" t="n"/>
      <c r="B17" s="133" t="n"/>
      <c r="C17" s="133" t="n"/>
      <c r="D17" s="134" t="n"/>
      <c r="E17" s="135" t="n"/>
      <c r="F17" s="135" t="n"/>
      <c r="G17" s="136" t="n"/>
      <c r="H17" s="137" t="n"/>
      <c r="I17" s="138" t="n"/>
      <c r="J17" s="139" t="n"/>
      <c r="K17" s="139" t="n"/>
      <c r="L17" s="139" t="n"/>
      <c r="M17" s="212" t="n"/>
      <c r="N17" s="141" t="inlineStr"/>
      <c r="O17" s="139" t="n"/>
      <c r="P17" s="142" t="inlineStr">
        <is>
          <t>S25NYONIRG</t>
        </is>
      </c>
      <c r="Q17" s="143" t="n"/>
      <c r="R17" s="144" t="n"/>
      <c r="S17" s="144" t="n"/>
      <c r="T17" s="199" t="n"/>
      <c r="U17" s="200" t="inlineStr">
        <is>
          <t>8CM RED/GREEN/GOLD MATT PLASTIC BALL WITH PAINTING</t>
        </is>
      </c>
      <c r="W17" s="147" t="n"/>
      <c r="X17" s="136" t="n"/>
      <c r="Y17" s="148" t="n"/>
      <c r="Z17" s="136" t="n"/>
      <c r="AA17" s="136" t="n"/>
      <c r="AB17" s="136" t="n"/>
      <c r="AC17" s="136" t="n"/>
      <c r="AD17" s="139" t="n"/>
      <c r="AE17" s="139" t="n"/>
      <c r="AF17" s="139" t="n"/>
      <c r="AG17" s="139" t="n"/>
      <c r="AH17" s="139" t="n"/>
      <c r="AI17" s="135" t="n"/>
      <c r="AJ17" s="136" t="n"/>
      <c r="AK17" s="136" t="n"/>
      <c r="AL17" s="136" t="n"/>
      <c r="AM17" s="136" t="n"/>
      <c r="AN17" s="136" t="n"/>
      <c r="AO17" s="213" t="n"/>
      <c r="AP17" s="213" t="n"/>
      <c r="AQ17" s="213" t="n"/>
      <c r="AR17" s="213" t="n"/>
      <c r="AS17" s="136" t="n"/>
      <c r="AT17" s="150" t="n"/>
      <c r="AU17" s="214" t="n"/>
      <c r="AV17" s="215" t="n">
        <v>1.3</v>
      </c>
      <c r="AW17" s="216" t="n"/>
      <c r="AX17" s="217" t="n"/>
      <c r="AY17" s="218" t="n"/>
      <c r="AZ17" s="156" t="n"/>
      <c r="BA17" s="156" t="n"/>
      <c r="BB17" s="219" t="n"/>
      <c r="BC17" s="219" t="n"/>
      <c r="BD17" s="219" t="n"/>
      <c r="BE17" s="219" t="n"/>
      <c r="BF17" s="219" t="n"/>
      <c r="BG17" s="219" t="n"/>
      <c r="BH17" s="220" t="n"/>
      <c r="BI17" s="219" t="n"/>
      <c r="BJ17" s="206" t="n"/>
      <c r="BK17" s="206" t="n"/>
      <c r="BL17" s="206" t="n"/>
      <c r="BM17" s="206" t="n"/>
      <c r="BN17" s="206" t="n"/>
      <c r="BO17" s="118" t="n"/>
      <c r="BP17" s="161" t="n"/>
      <c r="BQ17" s="161" t="n"/>
      <c r="BR17" s="161" t="n"/>
      <c r="BS17" s="161" t="n"/>
      <c r="BT17" s="161" t="n"/>
      <c r="BU17" s="118" t="n"/>
      <c r="BV17" s="207" t="n">
        <v>355</v>
      </c>
      <c r="BW17" s="207" t="n">
        <v>60</v>
      </c>
      <c r="BX17" s="207" t="n">
        <v>240</v>
      </c>
      <c r="BY17" s="207" t="n">
        <v>710</v>
      </c>
      <c r="BZ17" s="207" t="n">
        <v>950</v>
      </c>
      <c r="CA17" s="208" t="n"/>
      <c r="CB17" s="118" t="n"/>
      <c r="CC17" s="118" t="n"/>
      <c r="CD17" s="118" t="n"/>
      <c r="CE17" s="118" t="n"/>
      <c r="CF17" s="118" t="n"/>
      <c r="CG17" s="209" t="n"/>
      <c r="CH17" s="209" t="n"/>
      <c r="CI17" s="210" t="n"/>
      <c r="CJ17" s="136" t="n"/>
      <c r="CK17" s="167" t="n"/>
      <c r="CL17" s="221" t="n"/>
      <c r="CM17" s="221" t="n"/>
      <c r="CN17" s="222" t="n"/>
      <c r="CP17" s="170" t="n"/>
      <c r="CQ17" s="211" t="n"/>
    </row>
    <row r="18" ht="18" customHeight="1" s="189">
      <c r="A18" s="133" t="n"/>
      <c r="B18" s="133" t="n"/>
      <c r="C18" s="133" t="n"/>
      <c r="D18" s="134" t="n"/>
      <c r="E18" s="135" t="n"/>
      <c r="F18" s="135" t="n"/>
      <c r="G18" s="136" t="n"/>
      <c r="H18" s="137" t="n"/>
      <c r="I18" s="138" t="n"/>
      <c r="J18" s="139" t="n"/>
      <c r="K18" s="139" t="n"/>
      <c r="L18" s="139" t="n"/>
      <c r="M18" s="212" t="n"/>
      <c r="N18" s="141" t="inlineStr"/>
      <c r="O18" s="139" t="n"/>
      <c r="P18" s="142" t="inlineStr">
        <is>
          <t>S25LUXURY1P</t>
        </is>
      </c>
      <c r="Q18" s="143" t="n"/>
      <c r="R18" s="144" t="n"/>
      <c r="S18" s="144" t="n"/>
      <c r="T18" s="199" t="n"/>
      <c r="U18" s="200" t="inlineStr">
        <is>
          <t>9CM BROWN/COPPER/BLUE/CHAMPAGNE MATT FLAT BALL WITH GOLD SHINY COVER</t>
        </is>
      </c>
      <c r="W18" s="147" t="n"/>
      <c r="X18" s="136" t="n"/>
      <c r="Y18" s="148" t="n"/>
      <c r="Z18" s="136" t="n"/>
      <c r="AA18" s="136" t="n"/>
      <c r="AB18" s="136" t="n"/>
      <c r="AC18" s="136" t="n"/>
      <c r="AD18" s="139" t="n"/>
      <c r="AE18" s="139" t="n"/>
      <c r="AF18" s="139" t="n"/>
      <c r="AG18" s="139" t="n"/>
      <c r="AH18" s="139" t="n"/>
      <c r="AI18" s="135" t="n"/>
      <c r="AJ18" s="136" t="n"/>
      <c r="AK18" s="136" t="n"/>
      <c r="AL18" s="136" t="n"/>
      <c r="AM18" s="136" t="n"/>
      <c r="AN18" s="136" t="n"/>
      <c r="AO18" s="213" t="n"/>
      <c r="AP18" s="213" t="n"/>
      <c r="AQ18" s="213" t="n"/>
      <c r="AR18" s="213" t="n"/>
      <c r="AS18" s="136" t="n"/>
      <c r="AT18" s="150" t="n"/>
      <c r="AU18" s="214" t="n"/>
      <c r="AV18" s="215" t="n">
        <v>1.3</v>
      </c>
      <c r="AW18" s="216" t="n"/>
      <c r="AX18" s="217" t="n"/>
      <c r="AY18" s="218" t="n"/>
      <c r="AZ18" s="156" t="n"/>
      <c r="BA18" s="156" t="n"/>
      <c r="BB18" s="219" t="n"/>
      <c r="BC18" s="219" t="n"/>
      <c r="BD18" s="219" t="n"/>
      <c r="BE18" s="219" t="n"/>
      <c r="BF18" s="219" t="n"/>
      <c r="BG18" s="219" t="n"/>
      <c r="BH18" s="220" t="n"/>
      <c r="BI18" s="219" t="n"/>
      <c r="BJ18" s="206" t="n"/>
      <c r="BK18" s="206" t="n"/>
      <c r="BL18" s="206" t="n"/>
      <c r="BM18" s="206" t="n"/>
      <c r="BN18" s="206" t="n"/>
      <c r="BO18" s="118" t="n"/>
      <c r="BP18" s="161" t="n"/>
      <c r="BQ18" s="161" t="n"/>
      <c r="BR18" s="161" t="n"/>
      <c r="BS18" s="161" t="n"/>
      <c r="BT18" s="161" t="n"/>
      <c r="BU18" s="118" t="n"/>
      <c r="BV18" s="207" t="n">
        <v>340</v>
      </c>
      <c r="BW18" s="207" t="n">
        <v>70</v>
      </c>
      <c r="BX18" s="207" t="n">
        <v>265</v>
      </c>
      <c r="BY18" s="207" t="n">
        <v>920</v>
      </c>
      <c r="BZ18" s="207" t="n">
        <v>1200</v>
      </c>
      <c r="CA18" s="208" t="n"/>
      <c r="CB18" s="118" t="n"/>
      <c r="CC18" s="118" t="n"/>
      <c r="CD18" s="118" t="n"/>
      <c r="CE18" s="118" t="n"/>
      <c r="CF18" s="118" t="n"/>
      <c r="CG18" s="209" t="n"/>
      <c r="CH18" s="209" t="n"/>
      <c r="CI18" s="210" t="n"/>
      <c r="CJ18" s="136" t="n"/>
      <c r="CK18" s="167" t="n"/>
      <c r="CL18" s="221" t="n"/>
      <c r="CM18" s="221" t="n"/>
      <c r="CN18" s="222" t="n"/>
      <c r="CP18" s="170" t="n"/>
      <c r="CQ18" s="211" t="n"/>
    </row>
    <row r="19" ht="18" customHeight="1" s="189">
      <c r="A19" s="133" t="n"/>
      <c r="B19" s="133" t="n"/>
      <c r="C19" s="133" t="n"/>
      <c r="D19" s="134" t="n"/>
      <c r="E19" s="135" t="n"/>
      <c r="F19" s="135" t="n"/>
      <c r="G19" s="136" t="n"/>
      <c r="H19" s="137" t="n"/>
      <c r="I19" s="138" t="n"/>
      <c r="J19" s="139" t="n"/>
      <c r="K19" s="139" t="n"/>
      <c r="L19" s="139" t="n"/>
      <c r="M19" s="212" t="n"/>
      <c r="N19" s="141" t="inlineStr"/>
      <c r="O19" s="139" t="n"/>
      <c r="P19" s="142" t="inlineStr">
        <is>
          <t>EG01-LT24S170</t>
        </is>
      </c>
      <c r="Q19" s="143" t="n"/>
      <c r="R19" s="144" t="n"/>
      <c r="S19" s="144" t="n"/>
      <c r="T19" s="199" t="n"/>
      <c r="U19" s="200" t="inlineStr">
        <is>
          <t>S/4 8CM CHAMPAGNE GOLD/WHITE MATT PLASTIC ORNAMENT IN PET BOX</t>
        </is>
      </c>
      <c r="W19" s="147" t="n"/>
      <c r="X19" s="136" t="n"/>
      <c r="Y19" s="148" t="n"/>
      <c r="Z19" s="136" t="n"/>
      <c r="AA19" s="136" t="n"/>
      <c r="AB19" s="136" t="n"/>
      <c r="AC19" s="136" t="n"/>
      <c r="AD19" s="139" t="n"/>
      <c r="AE19" s="139" t="n"/>
      <c r="AF19" s="139" t="n"/>
      <c r="AG19" s="139" t="n"/>
      <c r="AH19" s="139" t="n"/>
      <c r="AI19" s="135" t="n"/>
      <c r="AJ19" s="136" t="n"/>
      <c r="AK19" s="136" t="n"/>
      <c r="AL19" s="136" t="n"/>
      <c r="AM19" s="136" t="n"/>
      <c r="AN19" s="136" t="n"/>
      <c r="AO19" s="213" t="n"/>
      <c r="AP19" s="213" t="n"/>
      <c r="AQ19" s="213" t="n"/>
      <c r="AR19" s="213" t="n"/>
      <c r="AS19" s="136" t="n"/>
      <c r="AT19" s="150" t="n"/>
      <c r="AU19" s="214" t="n"/>
      <c r="AV19" s="215" t="n">
        <v>7.06</v>
      </c>
      <c r="AW19" s="216" t="n"/>
      <c r="AX19" s="217" t="n"/>
      <c r="AY19" s="218" t="n"/>
      <c r="AZ19" s="156" t="n"/>
      <c r="BA19" s="156" t="n"/>
      <c r="BB19" s="219" t="n"/>
      <c r="BC19" s="219" t="n"/>
      <c r="BD19" s="219" t="n"/>
      <c r="BE19" s="219" t="n"/>
      <c r="BF19" s="219" t="n"/>
      <c r="BG19" s="219" t="n"/>
      <c r="BH19" s="220" t="n"/>
      <c r="BI19" s="219" t="n"/>
      <c r="BJ19" s="206" t="n"/>
      <c r="BK19" s="206" t="n"/>
      <c r="BL19" s="206" t="n"/>
      <c r="BM19" s="206" t="n"/>
      <c r="BN19" s="206" t="n"/>
      <c r="BO19" s="118" t="n"/>
      <c r="BP19" s="161" t="n"/>
      <c r="BQ19" s="161" t="n"/>
      <c r="BR19" s="161" t="n"/>
      <c r="BS19" s="161" t="n"/>
      <c r="BT19" s="161" t="n"/>
      <c r="BU19" s="118" t="n"/>
      <c r="BV19" s="207" t="n">
        <v>290</v>
      </c>
      <c r="BW19" s="207" t="n">
        <v>80</v>
      </c>
      <c r="BX19" s="207" t="n">
        <v>290</v>
      </c>
      <c r="BY19" s="207" t="n">
        <v>1210</v>
      </c>
      <c r="BZ19" s="207" t="n">
        <v>1460</v>
      </c>
      <c r="CA19" s="208" t="n"/>
      <c r="CB19" s="118" t="n"/>
      <c r="CC19" s="118" t="n"/>
      <c r="CD19" s="118" t="n"/>
      <c r="CE19" s="118" t="n"/>
      <c r="CF19" s="118" t="n"/>
      <c r="CG19" s="209" t="n"/>
      <c r="CH19" s="209" t="n"/>
      <c r="CI19" s="210" t="n"/>
      <c r="CJ19" s="136" t="n"/>
      <c r="CK19" s="167" t="n"/>
      <c r="CL19" s="221" t="n"/>
      <c r="CM19" s="221" t="n"/>
      <c r="CN19" s="222" t="n"/>
      <c r="CP19" s="170" t="n"/>
      <c r="CQ19" s="211" t="n"/>
    </row>
    <row r="20" ht="18" customHeight="1" s="189">
      <c r="A20" s="133" t="n"/>
      <c r="B20" s="133" t="n"/>
      <c r="C20" s="133" t="n"/>
      <c r="D20" s="134" t="n"/>
      <c r="E20" s="135" t="n"/>
      <c r="F20" s="135" t="n"/>
      <c r="G20" s="136" t="n"/>
      <c r="H20" s="137" t="n"/>
      <c r="I20" s="138" t="n"/>
      <c r="J20" s="139" t="n"/>
      <c r="K20" s="139" t="n"/>
      <c r="L20" s="139" t="n"/>
      <c r="M20" s="212" t="n"/>
      <c r="N20" s="141" t="inlineStr"/>
      <c r="O20" s="139" t="n"/>
      <c r="P20" s="142" t="inlineStr">
        <is>
          <t>EG01-PE3-10504M150B05KR531</t>
        </is>
      </c>
      <c r="Q20" s="143" t="n"/>
      <c r="R20" s="144" t="n"/>
      <c r="S20" s="144" t="n"/>
      <c r="T20" s="199" t="n"/>
      <c r="U20" s="200" t="inlineStr">
        <is>
          <t>S/4 10.5CM RED/WHITE MATT PLASTIC ORNAMENT IN PET BOX</t>
        </is>
      </c>
      <c r="W20" s="147" t="n"/>
      <c r="X20" s="136" t="n"/>
      <c r="Y20" s="148" t="n"/>
      <c r="Z20" s="136" t="n"/>
      <c r="AA20" s="136" t="n"/>
      <c r="AB20" s="136" t="n"/>
      <c r="AC20" s="136" t="n"/>
      <c r="AD20" s="139" t="n"/>
      <c r="AE20" s="139" t="n"/>
      <c r="AF20" s="139" t="n"/>
      <c r="AG20" s="139" t="n"/>
      <c r="AH20" s="139" t="n"/>
      <c r="AI20" s="135" t="n"/>
      <c r="AJ20" s="136" t="n"/>
      <c r="AK20" s="136" t="n"/>
      <c r="AL20" s="136" t="n"/>
      <c r="AM20" s="136" t="n"/>
      <c r="AN20" s="136" t="n"/>
      <c r="AO20" s="213" t="n"/>
      <c r="AP20" s="213" t="n"/>
      <c r="AQ20" s="213" t="n"/>
      <c r="AR20" s="213" t="n"/>
      <c r="AS20" s="136" t="n"/>
      <c r="AT20" s="150" t="n"/>
      <c r="AU20" s="214" t="n"/>
      <c r="AV20" s="215" t="n">
        <v>5.83</v>
      </c>
      <c r="AW20" s="216" t="n"/>
      <c r="AX20" s="217" t="n"/>
      <c r="AY20" s="218" t="n"/>
      <c r="AZ20" s="156" t="n"/>
      <c r="BA20" s="156" t="n"/>
      <c r="BB20" s="219" t="n"/>
      <c r="BC20" s="219" t="n"/>
      <c r="BD20" s="219" t="n"/>
      <c r="BE20" s="219" t="n"/>
      <c r="BF20" s="219" t="n"/>
      <c r="BG20" s="219" t="n"/>
      <c r="BH20" s="220" t="n"/>
      <c r="BI20" s="219" t="n"/>
      <c r="BJ20" s="206" t="n"/>
      <c r="BK20" s="206" t="n"/>
      <c r="BL20" s="206" t="n"/>
      <c r="BM20" s="206" t="n"/>
      <c r="BN20" s="206" t="n"/>
      <c r="BO20" s="118" t="n"/>
      <c r="BP20" s="161" t="n"/>
      <c r="BQ20" s="161" t="n"/>
      <c r="BR20" s="161" t="n"/>
      <c r="BS20" s="161" t="n"/>
      <c r="BT20" s="161" t="n"/>
      <c r="BU20" s="118" t="n"/>
      <c r="BV20" s="207" t="n">
        <v>230</v>
      </c>
      <c r="BW20" s="207" t="n">
        <v>90</v>
      </c>
      <c r="BX20" s="207" t="n">
        <v>365</v>
      </c>
      <c r="BY20" s="207" t="n">
        <v>1520</v>
      </c>
      <c r="BZ20" s="207" t="n">
        <v>1780</v>
      </c>
      <c r="CA20" s="208" t="n"/>
      <c r="CB20" s="118" t="n"/>
      <c r="CC20" s="118" t="n"/>
      <c r="CD20" s="118" t="n"/>
      <c r="CE20" s="118" t="n"/>
      <c r="CF20" s="118" t="n"/>
      <c r="CG20" s="209" t="n"/>
      <c r="CH20" s="209" t="n"/>
      <c r="CI20" s="210" t="n"/>
      <c r="CJ20" s="136" t="n"/>
      <c r="CK20" s="167" t="n"/>
      <c r="CL20" s="221" t="n"/>
      <c r="CM20" s="221" t="n"/>
      <c r="CN20" s="222" t="n"/>
      <c r="CP20" s="170" t="n"/>
      <c r="CQ20" s="211" t="n"/>
    </row>
    <row r="21" ht="18" customHeight="1" s="189">
      <c r="A21" s="133" t="n"/>
      <c r="B21" s="133" t="n"/>
      <c r="C21" s="133" t="n"/>
      <c r="D21" s="134" t="n"/>
      <c r="E21" s="135" t="n"/>
      <c r="F21" s="135" t="n"/>
      <c r="G21" s="136" t="n"/>
      <c r="H21" s="137" t="n"/>
      <c r="I21" s="138" t="n"/>
      <c r="J21" s="139" t="n"/>
      <c r="K21" s="139" t="n"/>
      <c r="L21" s="139" t="n"/>
      <c r="M21" s="212" t="n"/>
      <c r="N21" s="141" t="inlineStr"/>
      <c r="O21" s="139" t="n"/>
      <c r="P21" s="142" t="inlineStr">
        <is>
          <t>S25MITTENS4R</t>
        </is>
      </c>
      <c r="Q21" s="143" t="n"/>
      <c r="R21" s="144" t="n"/>
      <c r="S21" s="144" t="n"/>
      <c r="T21" s="199" t="n"/>
      <c r="U21" s="200" t="inlineStr">
        <is>
          <t>S/4 10.5CM PINK/WHITE + BLUE/WHITE MATT PLASTIC ORNAMENT IN PET BOX</t>
        </is>
      </c>
      <c r="W21" s="147" t="n"/>
      <c r="X21" s="136" t="n"/>
      <c r="Y21" s="148" t="n"/>
      <c r="Z21" s="136" t="n"/>
      <c r="AA21" s="136" t="n"/>
      <c r="AB21" s="136" t="n"/>
      <c r="AC21" s="136" t="n"/>
      <c r="AD21" s="139" t="n"/>
      <c r="AE21" s="139" t="n"/>
      <c r="AF21" s="139" t="n"/>
      <c r="AG21" s="139" t="n"/>
      <c r="AH21" s="139" t="n"/>
      <c r="AI21" s="135" t="n"/>
      <c r="AJ21" s="136" t="n"/>
      <c r="AK21" s="136" t="n"/>
      <c r="AL21" s="136" t="n"/>
      <c r="AM21" s="136" t="n"/>
      <c r="AN21" s="136" t="n"/>
      <c r="AO21" s="213" t="n"/>
      <c r="AP21" s="213" t="n"/>
      <c r="AQ21" s="213" t="n"/>
      <c r="AR21" s="213" t="n"/>
      <c r="AS21" s="136" t="n"/>
      <c r="AT21" s="150" t="n"/>
      <c r="AU21" s="214" t="n"/>
      <c r="AV21" s="215" t="n">
        <v>5.83</v>
      </c>
      <c r="AW21" s="216" t="n"/>
      <c r="AX21" s="217" t="n"/>
      <c r="AY21" s="218" t="n"/>
      <c r="AZ21" s="156" t="n"/>
      <c r="BA21" s="156" t="n"/>
      <c r="BB21" s="219" t="n"/>
      <c r="BC21" s="219" t="n"/>
      <c r="BD21" s="219" t="n"/>
      <c r="BE21" s="219" t="n"/>
      <c r="BF21" s="219" t="n"/>
      <c r="BG21" s="219" t="n"/>
      <c r="BH21" s="220" t="n"/>
      <c r="BI21" s="219" t="n"/>
      <c r="BJ21" s="206" t="n"/>
      <c r="BK21" s="206" t="n"/>
      <c r="BL21" s="206" t="n"/>
      <c r="BM21" s="206" t="n"/>
      <c r="BN21" s="206" t="n"/>
      <c r="BO21" s="118" t="n"/>
      <c r="BP21" s="161" t="n"/>
      <c r="BQ21" s="161" t="n"/>
      <c r="BR21" s="161" t="n"/>
      <c r="BS21" s="161" t="n"/>
      <c r="BT21" s="161" t="n"/>
      <c r="BU21" s="118" t="n"/>
      <c r="BV21" s="207" t="n">
        <v>230</v>
      </c>
      <c r="BW21" s="207" t="n">
        <v>100</v>
      </c>
      <c r="BX21" s="207" t="n">
        <v>365</v>
      </c>
      <c r="BY21" s="207" t="n">
        <v>1520</v>
      </c>
      <c r="BZ21" s="207" t="n">
        <v>1770</v>
      </c>
      <c r="CA21" s="208" t="n"/>
      <c r="CB21" s="118" t="n"/>
      <c r="CC21" s="118" t="n"/>
      <c r="CD21" s="118" t="n"/>
      <c r="CE21" s="118" t="n"/>
      <c r="CF21" s="118" t="n"/>
      <c r="CG21" s="209" t="n"/>
      <c r="CH21" s="209" t="n"/>
      <c r="CI21" s="210" t="n"/>
      <c r="CJ21" s="136" t="n"/>
      <c r="CK21" s="167" t="n"/>
      <c r="CL21" s="221" t="n"/>
      <c r="CM21" s="221" t="n"/>
      <c r="CN21" s="222" t="n"/>
      <c r="CP21" s="170" t="n"/>
      <c r="CQ21" s="211" t="n"/>
    </row>
    <row r="22" ht="18" customHeight="1" s="189">
      <c r="A22" s="133" t="n"/>
      <c r="B22" s="133" t="n"/>
      <c r="C22" s="133" t="n"/>
      <c r="D22" s="134" t="n"/>
      <c r="E22" s="135" t="n"/>
      <c r="F22" s="135" t="n"/>
      <c r="G22" s="136" t="n"/>
      <c r="H22" s="137" t="n"/>
      <c r="I22" s="138" t="n"/>
      <c r="J22" s="139" t="n"/>
      <c r="K22" s="139" t="n"/>
      <c r="L22" s="139" t="n"/>
      <c r="M22" s="212" t="n"/>
      <c r="N22" s="141" t="inlineStr"/>
      <c r="O22" s="139" t="n"/>
      <c r="P22" s="142" t="inlineStr">
        <is>
          <t>KC18626</t>
        </is>
      </c>
      <c r="Q22" s="143" t="n"/>
      <c r="R22" s="144" t="n"/>
      <c r="S22" s="144" t="n"/>
      <c r="T22" s="199" t="n"/>
      <c r="U22" s="200" t="inlineStr">
        <is>
          <t>S/3 12.5CM RED+GOLD GLITTER PLASTIC ORNAMENT IN PET BOX</t>
        </is>
      </c>
      <c r="W22" s="147" t="n"/>
      <c r="X22" s="136" t="n"/>
      <c r="Y22" s="148" t="n"/>
      <c r="Z22" s="136" t="n"/>
      <c r="AA22" s="136" t="n"/>
      <c r="AB22" s="136" t="n"/>
      <c r="AC22" s="136" t="n"/>
      <c r="AD22" s="139" t="n"/>
      <c r="AE22" s="139" t="n"/>
      <c r="AF22" s="139" t="n"/>
      <c r="AG22" s="139" t="n"/>
      <c r="AH22" s="139" t="n"/>
      <c r="AI22" s="135" t="n"/>
      <c r="AJ22" s="136" t="n"/>
      <c r="AK22" s="136" t="n"/>
      <c r="AL22" s="136" t="n"/>
      <c r="AM22" s="136" t="n"/>
      <c r="AN22" s="136" t="n"/>
      <c r="AO22" s="213" t="n"/>
      <c r="AP22" s="213" t="n"/>
      <c r="AQ22" s="213" t="n"/>
      <c r="AR22" s="213" t="n"/>
      <c r="AS22" s="136" t="n"/>
      <c r="AT22" s="150" t="n"/>
      <c r="AU22" s="214" t="n"/>
      <c r="AV22" s="215" t="n">
        <v>2.88</v>
      </c>
      <c r="AW22" s="216" t="n"/>
      <c r="AX22" s="217" t="n"/>
      <c r="AY22" s="218" t="n"/>
      <c r="AZ22" s="156" t="n"/>
      <c r="BA22" s="156" t="n"/>
      <c r="BB22" s="219" t="n"/>
      <c r="BC22" s="219" t="n"/>
      <c r="BD22" s="219" t="n"/>
      <c r="BE22" s="219" t="n"/>
      <c r="BF22" s="219" t="n"/>
      <c r="BG22" s="219" t="n"/>
      <c r="BH22" s="220" t="n"/>
      <c r="BI22" s="219" t="n"/>
      <c r="BJ22" s="206" t="n"/>
      <c r="BK22" s="206" t="n"/>
      <c r="BL22" s="206" t="n"/>
      <c r="BM22" s="206" t="n"/>
      <c r="BN22" s="206" t="n"/>
      <c r="BO22" s="118" t="n"/>
      <c r="BP22" s="161" t="n"/>
      <c r="BQ22" s="161" t="n"/>
      <c r="BR22" s="161" t="n"/>
      <c r="BS22" s="161" t="n"/>
      <c r="BT22" s="161" t="n"/>
      <c r="BU22" s="118" t="n"/>
      <c r="BV22" s="207" t="n">
        <v>270</v>
      </c>
      <c r="BW22" s="207" t="n">
        <v>110</v>
      </c>
      <c r="BX22" s="207" t="n">
        <v>260</v>
      </c>
      <c r="BY22" s="207" t="n">
        <v>2100</v>
      </c>
      <c r="BZ22" s="207" t="n">
        <v>2300</v>
      </c>
      <c r="CA22" s="208" t="n"/>
      <c r="CB22" s="118" t="n"/>
      <c r="CC22" s="118" t="n"/>
      <c r="CD22" s="118" t="n"/>
      <c r="CE22" s="118" t="n"/>
      <c r="CF22" s="118" t="n"/>
      <c r="CG22" s="209" t="n"/>
      <c r="CH22" s="209" t="n"/>
      <c r="CI22" s="210" t="n"/>
      <c r="CJ22" s="136" t="n"/>
      <c r="CK22" s="167" t="n"/>
      <c r="CL22" s="221" t="n"/>
      <c r="CM22" s="221" t="n"/>
      <c r="CN22" s="222" t="n"/>
      <c r="CP22" s="170" t="n"/>
      <c r="CQ22" s="211" t="n"/>
    </row>
    <row r="23" ht="18" customHeight="1" s="189">
      <c r="A23" s="133" t="n"/>
      <c r="B23" s="133" t="n"/>
      <c r="C23" s="133" t="n"/>
      <c r="D23" s="134" t="n"/>
      <c r="E23" s="135" t="n"/>
      <c r="F23" s="135" t="n"/>
      <c r="G23" s="136" t="n"/>
      <c r="H23" s="137" t="n"/>
      <c r="I23" s="138" t="n"/>
      <c r="J23" s="139" t="n"/>
      <c r="K23" s="139" t="n"/>
      <c r="L23" s="139" t="n"/>
      <c r="M23" s="212" t="n"/>
      <c r="N23" s="141" t="inlineStr"/>
      <c r="O23" s="139" t="n"/>
      <c r="P23" s="142" t="inlineStr">
        <is>
          <t>S25AS4NY24</t>
        </is>
      </c>
      <c r="Q23" s="143" t="n"/>
      <c r="R23" s="144" t="n"/>
      <c r="S23" s="144" t="n"/>
      <c r="T23" s="199" t="n"/>
      <c r="U23" s="200" t="inlineStr">
        <is>
          <t>S/24 3+3.5+4.5+5CM RED/CHAMPAGNE GOLD/GREEN SHINY/MATT/GLITTER PLASTIC BALL IN HEXAGON CARFT BOX WITH PET COVER</t>
        </is>
      </c>
      <c r="W23" s="147" t="n"/>
      <c r="X23" s="136" t="n"/>
      <c r="Y23" s="148" t="n"/>
      <c r="Z23" s="136" t="n"/>
      <c r="AA23" s="136" t="n"/>
      <c r="AB23" s="136" t="n"/>
      <c r="AC23" s="136" t="n"/>
      <c r="AD23" s="139" t="n"/>
      <c r="AE23" s="139" t="n"/>
      <c r="AF23" s="139" t="n"/>
      <c r="AG23" s="139" t="n"/>
      <c r="AH23" s="139" t="n"/>
      <c r="AI23" s="135" t="n"/>
      <c r="AJ23" s="136" t="n"/>
      <c r="AK23" s="136" t="n"/>
      <c r="AL23" s="136" t="n"/>
      <c r="AM23" s="136" t="n"/>
      <c r="AN23" s="136" t="n"/>
      <c r="AO23" s="213" t="n"/>
      <c r="AP23" s="213" t="n"/>
      <c r="AQ23" s="213" t="n"/>
      <c r="AR23" s="213" t="n"/>
      <c r="AS23" s="136" t="n"/>
      <c r="AT23" s="150" t="n"/>
      <c r="AU23" s="214" t="n"/>
      <c r="AV23" s="215" t="n">
        <v>8.779999999999999</v>
      </c>
      <c r="AW23" s="216" t="n"/>
      <c r="AX23" s="217" t="n"/>
      <c r="AY23" s="218" t="n"/>
      <c r="AZ23" s="156" t="n"/>
      <c r="BA23" s="156" t="n"/>
      <c r="BB23" s="219" t="n"/>
      <c r="BC23" s="219" t="n"/>
      <c r="BD23" s="219" t="n"/>
      <c r="BE23" s="219" t="n"/>
      <c r="BF23" s="219" t="n"/>
      <c r="BG23" s="219" t="n"/>
      <c r="BH23" s="220" t="n"/>
      <c r="BI23" s="219" t="n"/>
      <c r="BJ23" s="206" t="n"/>
      <c r="BK23" s="206" t="n"/>
      <c r="BL23" s="206" t="n"/>
      <c r="BM23" s="206" t="n"/>
      <c r="BN23" s="206" t="n"/>
      <c r="BO23" s="118" t="n"/>
      <c r="BP23" s="161" t="n"/>
      <c r="BQ23" s="161" t="n"/>
      <c r="BR23" s="161" t="n"/>
      <c r="BS23" s="161" t="n"/>
      <c r="BT23" s="161" t="n"/>
      <c r="BU23" s="118" t="n"/>
      <c r="BV23" s="207" t="n">
        <v>390</v>
      </c>
      <c r="BW23" s="207" t="n">
        <v>120</v>
      </c>
      <c r="BX23" s="207" t="n">
        <v>330</v>
      </c>
      <c r="BY23" s="207" t="n">
        <v>1700</v>
      </c>
      <c r="BZ23" s="207" t="n">
        <v>2100</v>
      </c>
      <c r="CA23" s="208" t="n"/>
      <c r="CB23" s="118" t="n"/>
      <c r="CC23" s="118" t="n"/>
      <c r="CD23" s="118" t="n"/>
      <c r="CE23" s="118" t="n"/>
      <c r="CF23" s="118" t="n"/>
      <c r="CG23" s="209" t="n"/>
      <c r="CH23" s="209" t="n"/>
      <c r="CI23" s="210" t="n"/>
      <c r="CJ23" s="136" t="n"/>
      <c r="CK23" s="167" t="n"/>
      <c r="CL23" s="221" t="n"/>
      <c r="CM23" s="221" t="n"/>
      <c r="CN23" s="222" t="n"/>
      <c r="CP23" s="170" t="n"/>
      <c r="CQ23" s="211" t="n"/>
    </row>
    <row r="24" ht="18" customHeight="1" s="189">
      <c r="A24" s="133" t="n"/>
      <c r="B24" s="133" t="n"/>
      <c r="C24" s="133" t="n"/>
      <c r="D24" s="134" t="n"/>
      <c r="E24" s="135" t="n"/>
      <c r="F24" s="135" t="n"/>
      <c r="G24" s="136" t="n"/>
      <c r="H24" s="137" t="n"/>
      <c r="I24" s="138" t="n"/>
      <c r="J24" s="139" t="n"/>
      <c r="K24" s="139" t="n"/>
      <c r="L24" s="139" t="n"/>
      <c r="M24" s="212" t="n"/>
      <c r="N24" s="141" t="inlineStr"/>
      <c r="O24" s="139" t="n"/>
      <c r="P24" s="142" t="inlineStr">
        <is>
          <t>EG01-LT24S189</t>
        </is>
      </c>
      <c r="Q24" s="143" t="n"/>
      <c r="R24" s="144" t="n"/>
      <c r="S24" s="144" t="n"/>
      <c r="T24" s="199" t="n"/>
      <c r="U24" s="200" t="inlineStr">
        <is>
          <t>S/24 3+3.5+4.5+5CM YELLOW/COPPER/BROWN/BLUE SHINY/MATT/GLITTER PLASTIC BALL IN HEXAGON CARFT BOX WITH PET COVER</t>
        </is>
      </c>
      <c r="W24" s="147" t="n"/>
      <c r="X24" s="136" t="n"/>
      <c r="Y24" s="148" t="n"/>
      <c r="Z24" s="136" t="n"/>
      <c r="AA24" s="136" t="n"/>
      <c r="AB24" s="136" t="n"/>
      <c r="AC24" s="136" t="n"/>
      <c r="AD24" s="139" t="n"/>
      <c r="AE24" s="139" t="n"/>
      <c r="AF24" s="139" t="n"/>
      <c r="AG24" s="139" t="n"/>
      <c r="AH24" s="139" t="n"/>
      <c r="AI24" s="135" t="n"/>
      <c r="AJ24" s="136" t="n"/>
      <c r="AK24" s="136" t="n"/>
      <c r="AL24" s="136" t="n"/>
      <c r="AM24" s="136" t="n"/>
      <c r="AN24" s="136" t="n"/>
      <c r="AO24" s="213" t="n"/>
      <c r="AP24" s="213" t="n"/>
      <c r="AQ24" s="213" t="n"/>
      <c r="AR24" s="213" t="n"/>
      <c r="AS24" s="136" t="n"/>
      <c r="AT24" s="150" t="n"/>
      <c r="AU24" s="214" t="n"/>
      <c r="AV24" s="215" t="n">
        <v>8.779999999999999</v>
      </c>
      <c r="AW24" s="216" t="n"/>
      <c r="AX24" s="217" t="n"/>
      <c r="AY24" s="218" t="n"/>
      <c r="AZ24" s="156" t="n"/>
      <c r="BA24" s="156" t="n"/>
      <c r="BB24" s="219" t="n"/>
      <c r="BC24" s="219" t="n"/>
      <c r="BD24" s="219" t="n"/>
      <c r="BE24" s="219" t="n"/>
      <c r="BF24" s="219" t="n"/>
      <c r="BG24" s="219" t="n"/>
      <c r="BH24" s="220" t="n"/>
      <c r="BI24" s="219" t="n"/>
      <c r="BJ24" s="206" t="n"/>
      <c r="BK24" s="206" t="n"/>
      <c r="BL24" s="206" t="n"/>
      <c r="BM24" s="206" t="n"/>
      <c r="BN24" s="206" t="n"/>
      <c r="BO24" s="118" t="n"/>
      <c r="BP24" s="161" t="n"/>
      <c r="BQ24" s="161" t="n"/>
      <c r="BR24" s="161" t="n"/>
      <c r="BS24" s="161" t="n"/>
      <c r="BT24" s="161" t="n"/>
      <c r="BU24" s="118" t="n"/>
      <c r="BV24" s="207" t="n">
        <v>390</v>
      </c>
      <c r="BW24" s="207" t="n">
        <v>130</v>
      </c>
      <c r="BX24" s="207" t="n">
        <v>330</v>
      </c>
      <c r="BY24" s="207" t="n">
        <v>1700</v>
      </c>
      <c r="BZ24" s="207" t="n">
        <v>2100</v>
      </c>
      <c r="CA24" s="208" t="n"/>
      <c r="CB24" s="118" t="n"/>
      <c r="CC24" s="118" t="n"/>
      <c r="CD24" s="118" t="n"/>
      <c r="CE24" s="118" t="n"/>
      <c r="CF24" s="118" t="n"/>
      <c r="CG24" s="209" t="n"/>
      <c r="CH24" s="209" t="n"/>
      <c r="CI24" s="210" t="n"/>
      <c r="CJ24" s="136" t="n"/>
      <c r="CK24" s="167" t="n"/>
      <c r="CL24" s="221" t="n"/>
      <c r="CM24" s="221" t="n"/>
      <c r="CN24" s="222" t="n"/>
      <c r="CP24" s="170" t="n"/>
      <c r="CQ24" s="211" t="n"/>
    </row>
    <row r="25" ht="18" customHeight="1" s="189">
      <c r="A25" s="133" t="n"/>
      <c r="B25" s="133" t="n"/>
      <c r="C25" s="133" t="n"/>
      <c r="D25" s="134" t="n"/>
      <c r="E25" s="135" t="n"/>
      <c r="F25" s="135" t="n"/>
      <c r="G25" s="136" t="n"/>
      <c r="H25" s="137" t="n"/>
      <c r="I25" s="138" t="n"/>
      <c r="J25" s="139" t="n"/>
      <c r="K25" s="139" t="n"/>
      <c r="L25" s="139" t="n"/>
      <c r="M25" s="212" t="n"/>
      <c r="N25" s="141" t="inlineStr"/>
      <c r="O25" s="139" t="n"/>
      <c r="P25" s="142" t="inlineStr">
        <is>
          <t>S25ASEG0124</t>
        </is>
      </c>
      <c r="Q25" s="143" t="n"/>
      <c r="R25" s="144" t="n"/>
      <c r="S25" s="144" t="n"/>
      <c r="T25" s="199" t="n"/>
      <c r="U25" s="200" t="inlineStr">
        <is>
          <t>S/24 3+3.5+4.5+5CM PINK/SILVER/WHITE/BLUE SHINY/MATT/GLITTER/FROST PLASTIC BALL IN HEXAGON CARFT BOX WITH PET COVER</t>
        </is>
      </c>
      <c r="W25" s="147" t="n"/>
      <c r="X25" s="136" t="n"/>
      <c r="Y25" s="148" t="n"/>
      <c r="Z25" s="136" t="n"/>
      <c r="AA25" s="136" t="n"/>
      <c r="AB25" s="136" t="n"/>
      <c r="AC25" s="136" t="n"/>
      <c r="AD25" s="139" t="n"/>
      <c r="AE25" s="139" t="n"/>
      <c r="AF25" s="139" t="n"/>
      <c r="AG25" s="139" t="n"/>
      <c r="AH25" s="139" t="n"/>
      <c r="AI25" s="135" t="n"/>
      <c r="AJ25" s="136" t="n"/>
      <c r="AK25" s="136" t="n"/>
      <c r="AL25" s="136" t="n"/>
      <c r="AM25" s="136" t="n"/>
      <c r="AN25" s="136" t="n"/>
      <c r="AO25" s="213" t="n"/>
      <c r="AP25" s="213" t="n"/>
      <c r="AQ25" s="213" t="n"/>
      <c r="AR25" s="213" t="n"/>
      <c r="AS25" s="136" t="n"/>
      <c r="AT25" s="150" t="n"/>
      <c r="AU25" s="214" t="n"/>
      <c r="AV25" s="215" t="n">
        <v>8.779999999999999</v>
      </c>
      <c r="AW25" s="216" t="n"/>
      <c r="AX25" s="217" t="n"/>
      <c r="AY25" s="218" t="n"/>
      <c r="AZ25" s="156" t="n"/>
      <c r="BA25" s="156" t="n"/>
      <c r="BB25" s="219" t="n"/>
      <c r="BC25" s="219" t="n"/>
      <c r="BD25" s="219" t="n"/>
      <c r="BE25" s="219" t="n"/>
      <c r="BF25" s="219" t="n"/>
      <c r="BG25" s="219" t="n"/>
      <c r="BH25" s="220" t="n"/>
      <c r="BI25" s="219" t="n"/>
      <c r="BJ25" s="206" t="n"/>
      <c r="BK25" s="206" t="n"/>
      <c r="BL25" s="206" t="n"/>
      <c r="BM25" s="206" t="n"/>
      <c r="BN25" s="206" t="n"/>
      <c r="BO25" s="118" t="n"/>
      <c r="BP25" s="161" t="n"/>
      <c r="BQ25" s="161" t="n"/>
      <c r="BR25" s="161" t="n"/>
      <c r="BS25" s="161" t="n"/>
      <c r="BT25" s="161" t="n"/>
      <c r="BU25" s="118" t="n"/>
      <c r="BV25" s="207" t="n">
        <v>390</v>
      </c>
      <c r="BW25" s="207" t="n">
        <v>140</v>
      </c>
      <c r="BX25" s="207" t="n">
        <v>330</v>
      </c>
      <c r="BY25" s="207" t="n">
        <v>1800</v>
      </c>
      <c r="BZ25" s="207" t="n">
        <v>2100</v>
      </c>
      <c r="CA25" s="208" t="n"/>
      <c r="CB25" s="118" t="n"/>
      <c r="CC25" s="118" t="n"/>
      <c r="CD25" s="118" t="n"/>
      <c r="CE25" s="118" t="n"/>
      <c r="CF25" s="118" t="n"/>
      <c r="CG25" s="209" t="n"/>
      <c r="CH25" s="209" t="n"/>
      <c r="CI25" s="210" t="n"/>
      <c r="CJ25" s="136" t="n"/>
      <c r="CK25" s="167" t="n"/>
      <c r="CL25" s="221" t="n"/>
      <c r="CM25" s="221" t="n"/>
      <c r="CN25" s="222" t="n"/>
      <c r="CP25" s="170" t="n"/>
      <c r="CQ25" s="211" t="n"/>
    </row>
    <row r="26" ht="18" customHeight="1" s="189">
      <c r="A26" s="133" t="n"/>
      <c r="B26" s="133" t="n"/>
      <c r="C26" s="133" t="n"/>
      <c r="D26" s="134" t="n"/>
      <c r="E26" s="135" t="n"/>
      <c r="F26" s="135" t="n"/>
      <c r="G26" s="136" t="n"/>
      <c r="H26" s="137" t="n"/>
      <c r="I26" s="138" t="n"/>
      <c r="J26" s="139" t="n"/>
      <c r="K26" s="139" t="n"/>
      <c r="L26" s="139" t="n"/>
      <c r="M26" s="212" t="n"/>
      <c r="N26" s="141" t="inlineStr"/>
      <c r="O26" s="139" t="n"/>
      <c r="P26" s="142" t="n"/>
      <c r="Q26" s="143" t="n"/>
      <c r="R26" s="144" t="n"/>
      <c r="S26" s="144" t="n"/>
      <c r="T26" s="199" t="n"/>
      <c r="U26" s="200" t="n"/>
      <c r="W26" s="147" t="n"/>
      <c r="X26" s="136" t="n"/>
      <c r="Y26" s="148" t="n"/>
      <c r="Z26" s="136" t="n"/>
      <c r="AA26" s="136" t="n"/>
      <c r="AB26" s="136" t="n"/>
      <c r="AC26" s="136" t="n"/>
      <c r="AD26" s="139" t="n"/>
      <c r="AE26" s="139" t="n"/>
      <c r="AF26" s="139" t="n"/>
      <c r="AG26" s="139" t="n"/>
      <c r="AH26" s="139" t="n"/>
      <c r="AI26" s="135" t="n"/>
      <c r="AJ26" s="136" t="n"/>
      <c r="AK26" s="136" t="n"/>
      <c r="AL26" s="136" t="n"/>
      <c r="AM26" s="136" t="n"/>
      <c r="AN26" s="136" t="n"/>
      <c r="AO26" s="213" t="n"/>
      <c r="AP26" s="213" t="n"/>
      <c r="AQ26" s="213" t="n"/>
      <c r="AR26" s="213" t="n"/>
      <c r="AS26" s="136" t="n"/>
      <c r="AT26" s="150" t="n"/>
      <c r="AU26" s="214" t="n"/>
      <c r="AV26" s="215" t="n">
        <v>6.34</v>
      </c>
      <c r="AW26" s="216" t="n"/>
      <c r="AX26" s="217" t="n"/>
      <c r="AY26" s="218" t="n"/>
      <c r="AZ26" s="156" t="n"/>
      <c r="BA26" s="156" t="n"/>
      <c r="BB26" s="219" t="n"/>
      <c r="BC26" s="219" t="n"/>
      <c r="BD26" s="219" t="n"/>
      <c r="BE26" s="219" t="n"/>
      <c r="BF26" s="219" t="n"/>
      <c r="BG26" s="219" t="n"/>
      <c r="BH26" s="220" t="n"/>
      <c r="BI26" s="219" t="n"/>
      <c r="BJ26" s="206" t="n"/>
      <c r="BK26" s="206" t="n"/>
      <c r="BL26" s="206" t="n"/>
      <c r="BM26" s="206" t="n"/>
      <c r="BN26" s="206" t="n"/>
      <c r="BO26" s="118" t="n"/>
      <c r="BP26" s="161" t="n"/>
      <c r="BQ26" s="161" t="n"/>
      <c r="BR26" s="161" t="n"/>
      <c r="BS26" s="161" t="n"/>
      <c r="BT26" s="161" t="n"/>
      <c r="BU26" s="118" t="n"/>
      <c r="BV26" s="207" t="n"/>
      <c r="BW26" s="207" t="n"/>
      <c r="BX26" s="207" t="n"/>
      <c r="BY26" s="207" t="n"/>
      <c r="BZ26" s="207" t="n"/>
      <c r="CA26" s="208" t="n"/>
      <c r="CB26" s="118" t="n"/>
      <c r="CC26" s="118" t="n"/>
      <c r="CD26" s="118" t="n"/>
      <c r="CE26" s="118" t="n"/>
      <c r="CF26" s="118" t="n"/>
      <c r="CG26" s="209" t="n"/>
      <c r="CH26" s="209" t="n"/>
      <c r="CI26" s="210" t="n"/>
      <c r="CJ26" s="136" t="n"/>
      <c r="CK26" s="167" t="n"/>
      <c r="CL26" s="221" t="n"/>
      <c r="CM26" s="221" t="n"/>
      <c r="CN26" s="222" t="n"/>
      <c r="CP26" s="170" t="n"/>
      <c r="CQ26" s="211" t="n"/>
    </row>
    <row r="27" ht="18" customHeight="1" s="189">
      <c r="A27" s="133" t="n"/>
      <c r="B27" s="133" t="n"/>
      <c r="C27" s="133" t="n"/>
      <c r="D27" s="134" t="n"/>
      <c r="E27" s="135" t="n"/>
      <c r="F27" s="135" t="n"/>
      <c r="G27" s="136" t="n"/>
      <c r="H27" s="137" t="n"/>
      <c r="I27" s="138" t="n"/>
      <c r="J27" s="139" t="n"/>
      <c r="K27" s="139" t="n"/>
      <c r="L27" s="139" t="n"/>
      <c r="M27" s="212" t="n"/>
      <c r="N27" s="141" t="inlineStr"/>
      <c r="O27" s="139" t="n"/>
      <c r="P27" s="142" t="n"/>
      <c r="Q27" s="143" t="n"/>
      <c r="R27" s="144" t="n"/>
      <c r="S27" s="144" t="n"/>
      <c r="T27" s="199" t="n"/>
      <c r="U27" s="200" t="n"/>
      <c r="W27" s="147" t="n"/>
      <c r="X27" s="136" t="n"/>
      <c r="Y27" s="148" t="n"/>
      <c r="Z27" s="136" t="n"/>
      <c r="AA27" s="136" t="n"/>
      <c r="AB27" s="136" t="n"/>
      <c r="AC27" s="136" t="n"/>
      <c r="AD27" s="139" t="n"/>
      <c r="AE27" s="139" t="n"/>
      <c r="AF27" s="139" t="n"/>
      <c r="AG27" s="139" t="n"/>
      <c r="AH27" s="139" t="n"/>
      <c r="AI27" s="135" t="n"/>
      <c r="AJ27" s="136" t="n"/>
      <c r="AK27" s="136" t="n"/>
      <c r="AL27" s="136" t="n"/>
      <c r="AM27" s="136" t="n"/>
      <c r="AN27" s="136" t="n"/>
      <c r="AO27" s="213" t="n"/>
      <c r="AP27" s="213" t="n"/>
      <c r="AQ27" s="213" t="n"/>
      <c r="AR27" s="213" t="n"/>
      <c r="AS27" s="136" t="n"/>
      <c r="AT27" s="150" t="n"/>
      <c r="AU27" s="214" t="n"/>
      <c r="AV27" s="215" t="n"/>
      <c r="AW27" s="216" t="n"/>
      <c r="AX27" s="217" t="n"/>
      <c r="AY27" s="218" t="n"/>
      <c r="AZ27" s="156" t="n"/>
      <c r="BA27" s="156" t="n"/>
      <c r="BB27" s="219" t="n"/>
      <c r="BC27" s="219" t="n"/>
      <c r="BD27" s="219" t="n"/>
      <c r="BE27" s="219" t="n"/>
      <c r="BF27" s="219" t="n"/>
      <c r="BG27" s="219" t="n"/>
      <c r="BH27" s="220" t="n"/>
      <c r="BI27" s="219" t="n"/>
      <c r="BJ27" s="206" t="n"/>
      <c r="BK27" s="206" t="n"/>
      <c r="BL27" s="206" t="n"/>
      <c r="BM27" s="206" t="n"/>
      <c r="BN27" s="206" t="n"/>
      <c r="BO27" s="118" t="n"/>
      <c r="BP27" s="161" t="n"/>
      <c r="BQ27" s="161" t="n"/>
      <c r="BR27" s="161" t="n"/>
      <c r="BS27" s="161" t="n"/>
      <c r="BT27" s="161" t="n"/>
      <c r="BU27" s="118" t="n"/>
      <c r="BV27" s="207" t="n"/>
      <c r="BW27" s="207" t="n"/>
      <c r="BX27" s="207" t="n"/>
      <c r="BY27" s="207" t="n"/>
      <c r="BZ27" s="207" t="n"/>
      <c r="CA27" s="208" t="n"/>
      <c r="CB27" s="118" t="n"/>
      <c r="CC27" s="118" t="n"/>
      <c r="CD27" s="118" t="n"/>
      <c r="CE27" s="118" t="n"/>
      <c r="CF27" s="118" t="n"/>
      <c r="CG27" s="209" t="n"/>
      <c r="CH27" s="209" t="n"/>
      <c r="CI27" s="210" t="n"/>
      <c r="CJ27" s="136" t="n"/>
      <c r="CK27" s="167" t="n"/>
      <c r="CL27" s="221" t="n"/>
      <c r="CM27" s="221" t="n"/>
      <c r="CN27" s="222" t="n"/>
      <c r="CP27" s="170" t="n"/>
      <c r="CQ27" s="211" t="n"/>
    </row>
    <row r="28" ht="18" customHeight="1" s="189">
      <c r="A28" s="133" t="n"/>
      <c r="B28" s="133" t="n"/>
      <c r="C28" s="133" t="n"/>
      <c r="D28" s="134" t="n"/>
      <c r="E28" s="135" t="n"/>
      <c r="F28" s="135" t="n"/>
      <c r="G28" s="136" t="n"/>
      <c r="H28" s="137" t="n"/>
      <c r="I28" s="138" t="n"/>
      <c r="J28" s="139" t="n"/>
      <c r="K28" s="139" t="n"/>
      <c r="L28" s="139" t="n"/>
      <c r="M28" s="212" t="n"/>
      <c r="N28" s="141" t="inlineStr"/>
      <c r="O28" s="139" t="n"/>
      <c r="P28" s="142" t="n"/>
      <c r="Q28" s="143" t="n"/>
      <c r="R28" s="144" t="n"/>
      <c r="S28" s="144" t="n"/>
      <c r="T28" s="199" t="n"/>
      <c r="U28" s="200" t="n"/>
      <c r="W28" s="147" t="n"/>
      <c r="X28" s="136" t="n"/>
      <c r="Y28" s="148" t="n"/>
      <c r="Z28" s="136" t="n"/>
      <c r="AA28" s="136" t="n"/>
      <c r="AB28" s="136" t="n"/>
      <c r="AC28" s="136" t="n"/>
      <c r="AD28" s="139" t="n"/>
      <c r="AE28" s="139" t="n"/>
      <c r="AF28" s="139" t="n"/>
      <c r="AG28" s="139" t="n"/>
      <c r="AH28" s="139" t="n"/>
      <c r="AI28" s="135" t="n"/>
      <c r="AJ28" s="136" t="n"/>
      <c r="AK28" s="136" t="n"/>
      <c r="AL28" s="136" t="n"/>
      <c r="AM28" s="136" t="n"/>
      <c r="AN28" s="136" t="n"/>
      <c r="AO28" s="213" t="n"/>
      <c r="AP28" s="213" t="n"/>
      <c r="AQ28" s="213" t="n"/>
      <c r="AR28" s="213" t="n"/>
      <c r="AS28" s="136" t="n"/>
      <c r="AT28" s="150" t="n"/>
      <c r="AU28" s="214" t="n"/>
      <c r="AV28" s="215" t="n"/>
      <c r="AW28" s="216" t="n"/>
      <c r="AX28" s="217" t="n"/>
      <c r="AY28" s="218" t="n"/>
      <c r="AZ28" s="156" t="n"/>
      <c r="BA28" s="156" t="n"/>
      <c r="BB28" s="219" t="n"/>
      <c r="BC28" s="219" t="n"/>
      <c r="BD28" s="219" t="n"/>
      <c r="BE28" s="219" t="n"/>
      <c r="BF28" s="219" t="n"/>
      <c r="BG28" s="219" t="n"/>
      <c r="BH28" s="220" t="n"/>
      <c r="BI28" s="219" t="n"/>
      <c r="BJ28" s="206" t="n"/>
      <c r="BK28" s="206" t="n"/>
      <c r="BL28" s="206" t="n"/>
      <c r="BM28" s="206" t="n"/>
      <c r="BN28" s="206" t="n"/>
      <c r="BO28" s="118" t="n"/>
      <c r="BP28" s="161" t="n"/>
      <c r="BQ28" s="161" t="n"/>
      <c r="BR28" s="161" t="n"/>
      <c r="BS28" s="161" t="n"/>
      <c r="BT28" s="161" t="n"/>
      <c r="BU28" s="118" t="n"/>
      <c r="BV28" s="207" t="n"/>
      <c r="BW28" s="207" t="n"/>
      <c r="BX28" s="207" t="n"/>
      <c r="BY28" s="207" t="n"/>
      <c r="BZ28" s="207" t="n"/>
      <c r="CA28" s="208" t="n"/>
      <c r="CB28" s="118" t="n"/>
      <c r="CC28" s="118" t="n"/>
      <c r="CD28" s="118" t="n"/>
      <c r="CE28" s="118" t="n"/>
      <c r="CF28" s="118" t="n"/>
      <c r="CG28" s="209" t="n"/>
      <c r="CH28" s="209" t="n"/>
      <c r="CI28" s="210" t="n"/>
      <c r="CJ28" s="136" t="n"/>
      <c r="CK28" s="167" t="n"/>
      <c r="CL28" s="221" t="n"/>
      <c r="CM28" s="221" t="n"/>
      <c r="CN28" s="222" t="n"/>
      <c r="CP28" s="170" t="n"/>
      <c r="CQ28" s="211" t="n"/>
    </row>
    <row r="29" ht="18" customHeight="1" s="189">
      <c r="A29" s="133" t="n"/>
      <c r="B29" s="133" t="n"/>
      <c r="C29" s="133" t="n"/>
      <c r="D29" s="134" t="n"/>
      <c r="E29" s="135" t="n"/>
      <c r="F29" s="135" t="n"/>
      <c r="G29" s="136" t="n"/>
      <c r="H29" s="137" t="n"/>
      <c r="I29" s="138" t="n"/>
      <c r="J29" s="139" t="n"/>
      <c r="K29" s="139" t="n"/>
      <c r="L29" s="139" t="n"/>
      <c r="M29" s="212" t="n"/>
      <c r="N29" s="141" t="inlineStr"/>
      <c r="O29" s="139" t="n"/>
      <c r="P29" s="142" t="n"/>
      <c r="Q29" s="143" t="n"/>
      <c r="R29" s="144" t="n"/>
      <c r="S29" s="144" t="n"/>
      <c r="T29" s="199" t="n"/>
      <c r="U29" s="200" t="n"/>
      <c r="W29" s="147" t="n"/>
      <c r="X29" s="136" t="n"/>
      <c r="Y29" s="148" t="n"/>
      <c r="Z29" s="136" t="n"/>
      <c r="AA29" s="136" t="n"/>
      <c r="AB29" s="136" t="n"/>
      <c r="AC29" s="136" t="n"/>
      <c r="AD29" s="139" t="n"/>
      <c r="AE29" s="139" t="n"/>
      <c r="AF29" s="139" t="n"/>
      <c r="AG29" s="139" t="n"/>
      <c r="AH29" s="139" t="n"/>
      <c r="AI29" s="135" t="n"/>
      <c r="AJ29" s="136" t="n"/>
      <c r="AK29" s="136" t="n"/>
      <c r="AL29" s="136" t="n"/>
      <c r="AM29" s="136" t="n"/>
      <c r="AN29" s="136" t="n"/>
      <c r="AO29" s="213" t="n"/>
      <c r="AP29" s="213" t="n"/>
      <c r="AQ29" s="213" t="n"/>
      <c r="AR29" s="213" t="n"/>
      <c r="AS29" s="136" t="n"/>
      <c r="AT29" s="150" t="n"/>
      <c r="AU29" s="214" t="n"/>
      <c r="AV29" s="215" t="n"/>
      <c r="AW29" s="216" t="n"/>
      <c r="AX29" s="217" t="n"/>
      <c r="AY29" s="218" t="n"/>
      <c r="AZ29" s="156" t="n"/>
      <c r="BA29" s="156" t="n"/>
      <c r="BB29" s="219" t="n"/>
      <c r="BC29" s="219" t="n"/>
      <c r="BD29" s="219" t="n"/>
      <c r="BE29" s="219" t="n"/>
      <c r="BF29" s="219" t="n"/>
      <c r="BG29" s="219" t="n"/>
      <c r="BH29" s="220" t="n"/>
      <c r="BI29" s="219" t="n"/>
      <c r="BJ29" s="206" t="n"/>
      <c r="BK29" s="206" t="n"/>
      <c r="BL29" s="206" t="n"/>
      <c r="BM29" s="206" t="n"/>
      <c r="BN29" s="206" t="n"/>
      <c r="BO29" s="118" t="n"/>
      <c r="BP29" s="161" t="n"/>
      <c r="BQ29" s="161" t="n"/>
      <c r="BR29" s="161" t="n"/>
      <c r="BS29" s="161" t="n"/>
      <c r="BT29" s="161" t="n"/>
      <c r="BU29" s="118" t="n"/>
      <c r="BV29" s="207" t="n"/>
      <c r="BW29" s="207" t="n"/>
      <c r="BX29" s="207" t="n"/>
      <c r="BY29" s="207" t="n"/>
      <c r="BZ29" s="207" t="n"/>
      <c r="CA29" s="208" t="n"/>
      <c r="CB29" s="118" t="n"/>
      <c r="CC29" s="118" t="n"/>
      <c r="CD29" s="118" t="n"/>
      <c r="CE29" s="118" t="n"/>
      <c r="CF29" s="118" t="n"/>
      <c r="CG29" s="209" t="n"/>
      <c r="CH29" s="209" t="n"/>
      <c r="CI29" s="210" t="n"/>
      <c r="CJ29" s="136" t="n"/>
      <c r="CK29" s="167" t="n"/>
      <c r="CL29" s="221" t="n"/>
      <c r="CM29" s="221" t="n"/>
      <c r="CN29" s="222" t="n"/>
      <c r="CP29" s="170" t="n"/>
      <c r="CQ29" s="211" t="n"/>
    </row>
    <row r="30" ht="18" customHeight="1" s="189">
      <c r="A30" s="133" t="n"/>
      <c r="B30" s="133" t="n"/>
      <c r="C30" s="133" t="n"/>
      <c r="D30" s="134" t="n"/>
      <c r="E30" s="135" t="n"/>
      <c r="F30" s="135" t="n"/>
      <c r="G30" s="136" t="n"/>
      <c r="H30" s="137" t="n"/>
      <c r="I30" s="138" t="n"/>
      <c r="J30" s="139" t="n"/>
      <c r="K30" s="139" t="n"/>
      <c r="L30" s="139" t="n"/>
      <c r="M30" s="212" t="n"/>
      <c r="N30" s="141" t="inlineStr"/>
      <c r="O30" s="139" t="n"/>
      <c r="P30" s="142" t="n"/>
      <c r="Q30" s="143" t="n"/>
      <c r="R30" s="144" t="n"/>
      <c r="S30" s="144" t="n"/>
      <c r="T30" s="199" t="n"/>
      <c r="U30" s="200" t="n"/>
      <c r="W30" s="147" t="n"/>
      <c r="X30" s="136" t="n"/>
      <c r="Y30" s="148" t="n"/>
      <c r="Z30" s="136" t="n"/>
      <c r="AA30" s="136" t="n"/>
      <c r="AB30" s="136" t="n"/>
      <c r="AC30" s="136" t="n"/>
      <c r="AD30" s="139" t="n"/>
      <c r="AE30" s="139" t="n"/>
      <c r="AF30" s="139" t="n"/>
      <c r="AG30" s="139" t="n"/>
      <c r="AH30" s="139" t="n"/>
      <c r="AI30" s="135" t="n"/>
      <c r="AJ30" s="136" t="n"/>
      <c r="AK30" s="136" t="n"/>
      <c r="AL30" s="136" t="n"/>
      <c r="AM30" s="136" t="n"/>
      <c r="AN30" s="136" t="n"/>
      <c r="AO30" s="213" t="n"/>
      <c r="AP30" s="213" t="n"/>
      <c r="AQ30" s="213" t="n"/>
      <c r="AR30" s="213" t="n"/>
      <c r="AS30" s="136" t="n"/>
      <c r="AT30" s="150" t="n"/>
      <c r="AU30" s="214" t="n"/>
      <c r="AV30" s="215" t="n"/>
      <c r="AW30" s="216" t="n"/>
      <c r="AX30" s="217" t="n"/>
      <c r="AY30" s="218" t="n"/>
      <c r="AZ30" s="156" t="n"/>
      <c r="BA30" s="156" t="n"/>
      <c r="BB30" s="219" t="n"/>
      <c r="BC30" s="219" t="n"/>
      <c r="BD30" s="219" t="n"/>
      <c r="BE30" s="219" t="n"/>
      <c r="BF30" s="219" t="n"/>
      <c r="BG30" s="219" t="n"/>
      <c r="BH30" s="220" t="n"/>
      <c r="BI30" s="219" t="n"/>
      <c r="BJ30" s="206" t="n"/>
      <c r="BK30" s="206" t="n"/>
      <c r="BL30" s="206" t="n"/>
      <c r="BM30" s="206" t="n"/>
      <c r="BN30" s="206" t="n"/>
      <c r="BO30" s="118" t="n"/>
      <c r="BP30" s="161" t="n"/>
      <c r="BQ30" s="161" t="n"/>
      <c r="BR30" s="161" t="n"/>
      <c r="BS30" s="161" t="n"/>
      <c r="BT30" s="161" t="n"/>
      <c r="BU30" s="118" t="n"/>
      <c r="BV30" s="207" t="n"/>
      <c r="BW30" s="207" t="n"/>
      <c r="BX30" s="207" t="n"/>
      <c r="BY30" s="207" t="n"/>
      <c r="BZ30" s="207" t="n"/>
      <c r="CA30" s="208" t="n"/>
      <c r="CB30" s="118" t="n"/>
      <c r="CC30" s="118" t="n"/>
      <c r="CD30" s="118" t="n"/>
      <c r="CE30" s="118" t="n"/>
      <c r="CF30" s="118" t="n"/>
      <c r="CG30" s="209" t="n"/>
      <c r="CH30" s="209" t="n"/>
      <c r="CI30" s="210" t="n"/>
      <c r="CJ30" s="136" t="n"/>
      <c r="CK30" s="167" t="n"/>
      <c r="CL30" s="221" t="n"/>
      <c r="CM30" s="221" t="n"/>
      <c r="CN30" s="222" t="n"/>
      <c r="CP30" s="170" t="n"/>
      <c r="CQ30" s="211" t="n"/>
    </row>
    <row r="31" ht="18" customHeight="1" s="189">
      <c r="A31" s="133" t="n"/>
      <c r="B31" s="133" t="n"/>
      <c r="C31" s="133" t="n"/>
      <c r="D31" s="134" t="n"/>
      <c r="E31" s="135" t="n"/>
      <c r="F31" s="135" t="n"/>
      <c r="G31" s="136" t="n"/>
      <c r="H31" s="137" t="n"/>
      <c r="I31" s="138" t="n"/>
      <c r="J31" s="139" t="n"/>
      <c r="K31" s="139" t="n"/>
      <c r="L31" s="139" t="n"/>
      <c r="M31" s="212" t="n"/>
      <c r="N31" s="141" t="inlineStr"/>
      <c r="O31" s="139" t="n"/>
      <c r="P31" s="142" t="n"/>
      <c r="Q31" s="143" t="n"/>
      <c r="R31" s="144" t="n"/>
      <c r="S31" s="144" t="n"/>
      <c r="T31" s="199" t="n"/>
      <c r="U31" s="200" t="n"/>
      <c r="W31" s="147" t="n"/>
      <c r="X31" s="136" t="n"/>
      <c r="Y31" s="148" t="n"/>
      <c r="Z31" s="136" t="n"/>
      <c r="AA31" s="136" t="n"/>
      <c r="AB31" s="136" t="n"/>
      <c r="AC31" s="136" t="n"/>
      <c r="AD31" s="139" t="n"/>
      <c r="AE31" s="139" t="n"/>
      <c r="AF31" s="139" t="n"/>
      <c r="AG31" s="139" t="n"/>
      <c r="AH31" s="139" t="n"/>
      <c r="AI31" s="135" t="n"/>
      <c r="AJ31" s="136" t="n"/>
      <c r="AK31" s="136" t="n"/>
      <c r="AL31" s="136" t="n"/>
      <c r="AM31" s="136" t="n"/>
      <c r="AN31" s="136" t="n"/>
      <c r="AO31" s="213" t="n"/>
      <c r="AP31" s="213" t="n"/>
      <c r="AQ31" s="213" t="n"/>
      <c r="AR31" s="213" t="n"/>
      <c r="AS31" s="136" t="n"/>
      <c r="AT31" s="150" t="n"/>
      <c r="AU31" s="214" t="n"/>
      <c r="AV31" s="215" t="n"/>
      <c r="AW31" s="216" t="n"/>
      <c r="AX31" s="217" t="n"/>
      <c r="AY31" s="218" t="n"/>
      <c r="AZ31" s="156" t="n"/>
      <c r="BA31" s="156" t="n"/>
      <c r="BB31" s="219" t="n"/>
      <c r="BC31" s="219" t="n"/>
      <c r="BD31" s="219" t="n"/>
      <c r="BE31" s="219" t="n"/>
      <c r="BF31" s="219" t="n"/>
      <c r="BG31" s="219" t="n"/>
      <c r="BH31" s="220" t="n"/>
      <c r="BI31" s="219" t="n"/>
      <c r="BJ31" s="206" t="n"/>
      <c r="BK31" s="206" t="n"/>
      <c r="BL31" s="206" t="n"/>
      <c r="BM31" s="206" t="n"/>
      <c r="BN31" s="206" t="n"/>
      <c r="BO31" s="118" t="n"/>
      <c r="BP31" s="161" t="n"/>
      <c r="BQ31" s="161" t="n"/>
      <c r="BR31" s="161" t="n"/>
      <c r="BS31" s="161" t="n"/>
      <c r="BT31" s="161" t="n"/>
      <c r="BU31" s="118" t="n"/>
      <c r="BV31" s="207" t="n"/>
      <c r="BW31" s="207" t="n"/>
      <c r="BX31" s="207" t="n"/>
      <c r="BY31" s="207" t="n"/>
      <c r="BZ31" s="207" t="n"/>
      <c r="CA31" s="208" t="n"/>
      <c r="CB31" s="118" t="n"/>
      <c r="CC31" s="118" t="n"/>
      <c r="CD31" s="118" t="n"/>
      <c r="CE31" s="118" t="n"/>
      <c r="CF31" s="118" t="n"/>
      <c r="CG31" s="209" t="n"/>
      <c r="CH31" s="209" t="n"/>
      <c r="CI31" s="210" t="n"/>
      <c r="CJ31" s="136" t="n"/>
      <c r="CK31" s="167" t="n"/>
      <c r="CL31" s="221" t="n"/>
      <c r="CM31" s="221" t="n"/>
      <c r="CN31" s="222" t="n"/>
      <c r="CP31" s="170" t="n"/>
      <c r="CQ31" s="211" t="n"/>
    </row>
    <row r="32" ht="18" customHeight="1" s="189">
      <c r="A32" s="133" t="n"/>
      <c r="B32" s="133" t="n"/>
      <c r="C32" s="133" t="n"/>
      <c r="D32" s="134" t="n"/>
      <c r="E32" s="135" t="n"/>
      <c r="F32" s="135" t="n"/>
      <c r="G32" s="136" t="n"/>
      <c r="H32" s="137" t="n"/>
      <c r="I32" s="138" t="n"/>
      <c r="J32" s="139" t="n"/>
      <c r="K32" s="139" t="n"/>
      <c r="L32" s="139" t="n"/>
      <c r="M32" s="212" t="n"/>
      <c r="N32" s="141" t="inlineStr"/>
      <c r="O32" s="139" t="n"/>
      <c r="P32" s="142" t="n"/>
      <c r="Q32" s="143" t="n"/>
      <c r="R32" s="144" t="n"/>
      <c r="S32" s="144" t="n"/>
      <c r="T32" s="199" t="n"/>
      <c r="U32" s="200" t="n"/>
      <c r="W32" s="147" t="n"/>
      <c r="X32" s="136" t="n"/>
      <c r="Y32" s="148" t="n"/>
      <c r="Z32" s="136" t="n"/>
      <c r="AA32" s="136" t="n"/>
      <c r="AB32" s="136" t="n"/>
      <c r="AC32" s="136" t="n"/>
      <c r="AD32" s="139" t="n"/>
      <c r="AE32" s="139" t="n"/>
      <c r="AF32" s="139" t="n"/>
      <c r="AG32" s="139" t="n"/>
      <c r="AH32" s="139" t="n"/>
      <c r="AI32" s="135" t="n"/>
      <c r="AJ32" s="136" t="n"/>
      <c r="AK32" s="136" t="n"/>
      <c r="AL32" s="136" t="n"/>
      <c r="AM32" s="136" t="n"/>
      <c r="AN32" s="136" t="n"/>
      <c r="AO32" s="213" t="n"/>
      <c r="AP32" s="213" t="n"/>
      <c r="AQ32" s="213" t="n"/>
      <c r="AR32" s="213" t="n"/>
      <c r="AS32" s="136" t="n"/>
      <c r="AT32" s="150" t="n"/>
      <c r="AU32" s="214" t="n"/>
      <c r="AV32" s="215" t="n"/>
      <c r="AW32" s="216" t="n"/>
      <c r="AX32" s="217" t="n"/>
      <c r="AY32" s="218" t="n"/>
      <c r="AZ32" s="156" t="n"/>
      <c r="BA32" s="156" t="n"/>
      <c r="BB32" s="219" t="n"/>
      <c r="BC32" s="219" t="n"/>
      <c r="BD32" s="219" t="n"/>
      <c r="BE32" s="219" t="n"/>
      <c r="BF32" s="219" t="n"/>
      <c r="BG32" s="219" t="n"/>
      <c r="BH32" s="220" t="n"/>
      <c r="BI32" s="219" t="n"/>
      <c r="BJ32" s="206" t="n"/>
      <c r="BK32" s="206" t="n"/>
      <c r="BL32" s="206" t="n"/>
      <c r="BM32" s="206" t="n"/>
      <c r="BN32" s="206" t="n"/>
      <c r="BO32" s="118" t="n"/>
      <c r="BP32" s="161" t="n"/>
      <c r="BQ32" s="161" t="n"/>
      <c r="BR32" s="161" t="n"/>
      <c r="BS32" s="161" t="n"/>
      <c r="BT32" s="161" t="n"/>
      <c r="BU32" s="118" t="n"/>
      <c r="BV32" s="207" t="n"/>
      <c r="BW32" s="207" t="n"/>
      <c r="BX32" s="207" t="n"/>
      <c r="BY32" s="207" t="n"/>
      <c r="BZ32" s="207" t="n"/>
      <c r="CA32" s="208" t="n"/>
      <c r="CB32" s="118" t="n"/>
      <c r="CC32" s="118" t="n"/>
      <c r="CD32" s="118" t="n"/>
      <c r="CE32" s="118" t="n"/>
      <c r="CF32" s="118" t="n"/>
      <c r="CG32" s="209" t="n"/>
      <c r="CH32" s="209" t="n"/>
      <c r="CI32" s="210" t="n"/>
      <c r="CJ32" s="136" t="n"/>
      <c r="CK32" s="167" t="n"/>
      <c r="CL32" s="221" t="n"/>
      <c r="CM32" s="221" t="n"/>
      <c r="CN32" s="222" t="n"/>
      <c r="CP32" s="170" t="n"/>
      <c r="CQ32" s="211" t="n"/>
    </row>
    <row r="33" ht="18" customHeight="1" s="189">
      <c r="A33" s="133" t="n"/>
      <c r="B33" s="133" t="n"/>
      <c r="C33" s="133" t="n"/>
      <c r="D33" s="134" t="n"/>
      <c r="E33" s="135" t="n"/>
      <c r="F33" s="135" t="n"/>
      <c r="G33" s="136" t="n"/>
      <c r="H33" s="137" t="n"/>
      <c r="I33" s="138" t="n"/>
      <c r="J33" s="139" t="n"/>
      <c r="K33" s="139" t="n"/>
      <c r="L33" s="139" t="n"/>
      <c r="M33" s="212" t="n"/>
      <c r="N33" s="141" t="inlineStr"/>
      <c r="O33" s="139" t="n"/>
      <c r="P33" s="142" t="n"/>
      <c r="Q33" s="143" t="n"/>
      <c r="R33" s="144" t="n"/>
      <c r="S33" s="144" t="n"/>
      <c r="T33" s="199" t="n"/>
      <c r="U33" s="200" t="n"/>
      <c r="W33" s="147" t="n"/>
      <c r="X33" s="136" t="n"/>
      <c r="Y33" s="148" t="n"/>
      <c r="Z33" s="136" t="n"/>
      <c r="AA33" s="136" t="n"/>
      <c r="AB33" s="136" t="n"/>
      <c r="AC33" s="136" t="n"/>
      <c r="AD33" s="139" t="n"/>
      <c r="AE33" s="139" t="n"/>
      <c r="AF33" s="139" t="n"/>
      <c r="AG33" s="139" t="n"/>
      <c r="AH33" s="139" t="n"/>
      <c r="AI33" s="135" t="n"/>
      <c r="AJ33" s="136" t="n"/>
      <c r="AK33" s="136" t="n"/>
      <c r="AL33" s="136" t="n"/>
      <c r="AM33" s="136" t="n"/>
      <c r="AN33" s="136" t="n"/>
      <c r="AO33" s="213" t="n"/>
      <c r="AP33" s="213" t="n"/>
      <c r="AQ33" s="213" t="n"/>
      <c r="AR33" s="213" t="n"/>
      <c r="AS33" s="136" t="n"/>
      <c r="AT33" s="150" t="n"/>
      <c r="AU33" s="214" t="n"/>
      <c r="AV33" s="215" t="n"/>
      <c r="AW33" s="216" t="n"/>
      <c r="AX33" s="217" t="n"/>
      <c r="AY33" s="218" t="n"/>
      <c r="AZ33" s="156" t="n"/>
      <c r="BA33" s="156" t="n"/>
      <c r="BB33" s="219" t="n"/>
      <c r="BC33" s="219" t="n"/>
      <c r="BD33" s="219" t="n"/>
      <c r="BE33" s="219" t="n"/>
      <c r="BF33" s="219" t="n"/>
      <c r="BG33" s="219" t="n"/>
      <c r="BH33" s="220" t="n"/>
      <c r="BI33" s="219" t="n"/>
      <c r="BJ33" s="206" t="n"/>
      <c r="BK33" s="206" t="n"/>
      <c r="BL33" s="206" t="n"/>
      <c r="BM33" s="206" t="n"/>
      <c r="BN33" s="206" t="n"/>
      <c r="BO33" s="118" t="n"/>
      <c r="BP33" s="161" t="n"/>
      <c r="BQ33" s="161" t="n"/>
      <c r="BR33" s="161" t="n"/>
      <c r="BS33" s="161" t="n"/>
      <c r="BT33" s="161" t="n"/>
      <c r="BU33" s="118" t="n"/>
      <c r="BV33" s="207" t="n"/>
      <c r="BW33" s="207" t="n"/>
      <c r="BX33" s="207" t="n"/>
      <c r="BY33" s="207" t="n"/>
      <c r="BZ33" s="207" t="n"/>
      <c r="CA33" s="208" t="n"/>
      <c r="CB33" s="118" t="n"/>
      <c r="CC33" s="118" t="n"/>
      <c r="CD33" s="118" t="n"/>
      <c r="CE33" s="118" t="n"/>
      <c r="CF33" s="118" t="n"/>
      <c r="CG33" s="209" t="n"/>
      <c r="CH33" s="209" t="n"/>
      <c r="CI33" s="210" t="n"/>
      <c r="CJ33" s="136" t="n"/>
      <c r="CK33" s="167" t="n"/>
      <c r="CL33" s="221" t="n"/>
      <c r="CM33" s="221" t="n"/>
      <c r="CN33" s="222" t="n"/>
      <c r="CP33" s="170" t="n"/>
      <c r="CQ33" s="211" t="n"/>
    </row>
    <row r="34" ht="18" customHeight="1" s="189"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3" t="n"/>
      <c r="AS34" s="172" t="n"/>
      <c r="AT34" s="172" t="n"/>
      <c r="AU34" s="172" t="n"/>
      <c r="AV34" s="172" t="n"/>
      <c r="AW34" s="172" t="n"/>
      <c r="AX34" s="172" t="n"/>
      <c r="AY34" s="174">
        <f>SUM(AY12:AY12)</f>
        <v/>
      </c>
      <c r="AZ34" s="172" t="n"/>
      <c r="BA34" s="172" t="n"/>
      <c r="BB34" s="174">
        <f>SUM(BB12:BB12)</f>
        <v/>
      </c>
      <c r="BC34" s="174">
        <f>SUM(BC12:BC12)</f>
        <v/>
      </c>
      <c r="BD34" s="174">
        <f>SUM(BD12:BD12)</f>
        <v/>
      </c>
      <c r="BE34" s="174">
        <f>SUM(BE12:BE12)</f>
        <v/>
      </c>
      <c r="BF34" s="174">
        <f>SUM(BF12:BF12)</f>
        <v/>
      </c>
      <c r="BG34" s="174">
        <f>SUM(BG12:BG12)</f>
        <v/>
      </c>
      <c r="BH34" s="174" t="n"/>
      <c r="BI34" s="174">
        <f>SUM(BI12:BI12)</f>
        <v/>
      </c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  <c r="BW34" s="172" t="n"/>
      <c r="BX34" s="172" t="n"/>
      <c r="BY34" s="172" t="n"/>
      <c r="BZ34" s="172" t="n"/>
      <c r="CA34" s="172" t="n"/>
      <c r="CB34" s="172" t="n"/>
      <c r="CC34" s="172" t="n"/>
      <c r="CD34" s="172" t="n"/>
      <c r="CE34" s="174">
        <f>SUM(CE12:CE12)</f>
        <v/>
      </c>
      <c r="CF34" s="172" t="n"/>
      <c r="CG34" s="174">
        <f>SUM(CG12:CG12)</f>
        <v/>
      </c>
      <c r="CH34" s="174">
        <f>SUM(CH12:CH12)</f>
        <v/>
      </c>
      <c r="CI34" s="174">
        <f>SUM(CI12:CI12)</f>
        <v/>
      </c>
      <c r="CJ34" s="172" t="n"/>
      <c r="CK34" s="172" t="n"/>
      <c r="CL34" s="172" t="n"/>
      <c r="CM34" s="172" t="n"/>
      <c r="CN34" s="172" t="n"/>
    </row>
    <row r="35" ht="18" customHeight="1" s="189">
      <c r="BI35" s="175" t="n"/>
      <c r="CA35" s="223" t="n"/>
      <c r="CH35" s="224" t="n"/>
    </row>
    <row r="36" ht="18" customHeight="1" s="189">
      <c r="BD36" s="178" t="n"/>
      <c r="BI36" s="179" t="n"/>
      <c r="CA36" s="225" t="n"/>
      <c r="CI36" s="225" t="n"/>
    </row>
    <row r="37" ht="18" customHeight="1" s="189">
      <c r="BI37" s="181" t="n"/>
      <c r="CA37" s="225" t="n"/>
      <c r="CH37" s="225" t="n"/>
    </row>
    <row r="38" ht="18" customHeight="1" s="189">
      <c r="BI38" s="181" t="n"/>
      <c r="CA38" s="225" t="n"/>
      <c r="CH38" s="225" t="n"/>
    </row>
    <row r="39" ht="18" customHeight="1" s="189">
      <c r="BI39" s="181" t="n"/>
    </row>
    <row r="40" ht="18" customHeight="1" s="189">
      <c r="F40" s="182" t="n"/>
      <c r="BI40" s="181" t="n"/>
    </row>
    <row r="41" ht="18" customHeight="1" s="189">
      <c r="F41" s="183" t="n"/>
      <c r="BI41" s="181" t="n"/>
    </row>
    <row r="42" ht="18" customHeight="1" s="189">
      <c r="BI42" s="181" t="n"/>
    </row>
    <row r="43" ht="18" customHeight="1" s="189">
      <c r="BI43" s="181" t="n"/>
    </row>
    <row r="44" ht="18" customHeight="1" s="189">
      <c r="BI44" s="181" t="n"/>
    </row>
    <row r="45" ht="18" customHeight="1" s="189">
      <c r="BI45" s="181" t="n"/>
    </row>
    <row r="46" ht="18" customHeight="1" s="189">
      <c r="BI46" s="181" t="n"/>
    </row>
    <row r="47" ht="18" customHeight="1" s="189">
      <c r="BI47" s="181" t="n"/>
    </row>
    <row r="48" ht="18" customHeight="1" s="189">
      <c r="BI48" s="181" t="n"/>
    </row>
    <row r="49" ht="18" customHeight="1" s="189">
      <c r="G49" s="184" t="n"/>
      <c r="AM49" s="185" t="n"/>
      <c r="AN49" s="185" t="n"/>
      <c r="BI49" s="181" t="n"/>
    </row>
    <row r="50" ht="18" customHeight="1" s="189">
      <c r="G50" s="186" t="n"/>
      <c r="BI50" s="181" t="n"/>
    </row>
    <row r="51" ht="18" customHeight="1" s="189">
      <c r="BI51" s="181" t="n"/>
    </row>
    <row r="52" ht="18" customHeight="1" s="189">
      <c r="BI52" s="181" t="n"/>
    </row>
    <row r="53" ht="18" customHeight="1" s="189">
      <c r="BI53" s="181" t="n"/>
    </row>
    <row r="54" ht="18" customHeight="1" s="189">
      <c r="BI54" s="181" t="n"/>
    </row>
    <row r="55" ht="18" customHeight="1" s="189">
      <c r="BI55" s="181" t="n"/>
    </row>
    <row r="56" ht="18" customHeight="1" s="189">
      <c r="BI56" s="181" t="n"/>
    </row>
    <row r="57" ht="18" customHeight="1" s="189">
      <c r="BI57" s="181" t="n"/>
    </row>
    <row r="58" ht="18" customHeight="1" s="189">
      <c r="BI58" s="181" t="n"/>
    </row>
    <row r="59" ht="18" customHeight="1" s="189">
      <c r="BI59" s="181" t="n"/>
    </row>
    <row r="60" ht="18" customHeight="1" s="189">
      <c r="BI60" s="181" t="n"/>
    </row>
    <row r="61" ht="18" customHeight="1" s="189">
      <c r="BI61" s="181" t="n"/>
    </row>
    <row r="62" ht="18" customHeight="1" s="189">
      <c r="BI62" s="181" t="n"/>
    </row>
    <row r="63" ht="18" customHeight="1" s="189">
      <c r="BI63" s="181" t="n"/>
    </row>
    <row r="64" ht="18" customHeight="1" s="189">
      <c r="BI64" s="181" t="n"/>
    </row>
    <row r="65" ht="18" customHeight="1" s="189">
      <c r="BI65" s="181" t="n"/>
    </row>
    <row r="66" ht="18" customHeight="1" s="189">
      <c r="BI66" s="181" t="n"/>
    </row>
    <row r="67" ht="18" customHeight="1" s="189">
      <c r="BI67" s="181" t="n"/>
    </row>
    <row r="68" ht="18" customHeight="1" s="189">
      <c r="BI68" s="181" t="n"/>
    </row>
    <row r="69" ht="18" customHeight="1" s="189">
      <c r="BI69" s="181" t="n"/>
    </row>
    <row r="70" ht="18" customHeight="1" s="189">
      <c r="BI70" s="181" t="n"/>
    </row>
    <row r="71" ht="18" customHeight="1" s="189">
      <c r="BI71" s="181" t="n"/>
    </row>
    <row r="72" ht="18" customHeight="1" s="189">
      <c r="BI72" s="181" t="n"/>
    </row>
    <row r="73" ht="18" customHeight="1" s="189">
      <c r="BI73" s="181" t="n"/>
    </row>
    <row r="74" ht="18" customHeight="1" s="189">
      <c r="BI74" s="181" t="n"/>
    </row>
    <row r="75" ht="18" customHeight="1" s="189">
      <c r="BI75" s="181" t="n"/>
    </row>
    <row r="76" ht="18" customHeight="1" s="189">
      <c r="BI76" s="181" t="n"/>
    </row>
    <row r="77" ht="18" customHeight="1" s="189">
      <c r="BI77" s="181" t="n"/>
    </row>
    <row r="78" ht="18" customHeight="1" s="189">
      <c r="BI78" s="181" t="n"/>
    </row>
    <row r="79" ht="18" customHeight="1" s="189">
      <c r="BI79" s="181" t="n"/>
    </row>
    <row r="80" ht="18" customHeight="1" s="189">
      <c r="BI80" s="181" t="n"/>
    </row>
    <row r="81" ht="18" customHeight="1" s="189">
      <c r="BI81" s="181" t="n"/>
    </row>
    <row r="82" ht="18" customHeight="1" s="189">
      <c r="BI82" s="181" t="n"/>
    </row>
    <row r="83" ht="18" customHeight="1" s="189">
      <c r="BI83" s="181" t="n"/>
    </row>
    <row r="84" ht="18" customHeight="1" s="189">
      <c r="BI84" s="181" t="n"/>
    </row>
    <row r="85" ht="18" customHeight="1" s="189">
      <c r="BI85" s="181" t="n"/>
    </row>
    <row r="86" ht="18" customHeight="1" s="189">
      <c r="BI86" s="181" t="n"/>
    </row>
    <row r="87" ht="18" customHeight="1" s="189">
      <c r="BI87" s="181" t="n"/>
    </row>
    <row r="88" ht="18" customHeight="1" s="189">
      <c r="BI88" s="181" t="n"/>
    </row>
    <row r="89" ht="18" customHeight="1" s="189">
      <c r="BI89" s="181" t="n"/>
    </row>
    <row r="90" ht="18" customHeight="1" s="189">
      <c r="BI90" s="181" t="n"/>
    </row>
    <row r="91" ht="18" customHeight="1" s="189">
      <c r="BI91" s="181" t="n"/>
    </row>
    <row r="92" ht="18" customHeight="1" s="189">
      <c r="BI92" s="181" t="n"/>
    </row>
    <row r="93" ht="18" customHeight="1" s="189">
      <c r="BI93" s="181" t="n"/>
    </row>
    <row r="94" ht="18" customHeight="1" s="189">
      <c r="BI94" s="181" t="n"/>
    </row>
    <row r="95" ht="18" customHeight="1" s="189">
      <c r="BI95" s="181" t="n"/>
    </row>
    <row r="96" ht="18" customHeight="1" s="189">
      <c r="BI96" s="181" t="n"/>
    </row>
    <row r="97" ht="18" customHeight="1" s="189">
      <c r="BI97" s="181" t="n"/>
    </row>
    <row r="98" ht="18" customHeight="1" s="189">
      <c r="BI98" s="181" t="n"/>
    </row>
    <row r="99" ht="18" customHeight="1" s="189">
      <c r="BI99" s="181" t="n"/>
    </row>
    <row r="100" ht="18" customHeight="1" s="189">
      <c r="BI100" s="181" t="n"/>
    </row>
    <row r="101" ht="18" customHeight="1" s="189">
      <c r="BI101" s="181" t="n"/>
    </row>
    <row r="102" ht="18" customHeight="1" s="189">
      <c r="BI102" s="181" t="n"/>
    </row>
    <row r="103" ht="18" customHeight="1" s="189">
      <c r="BI103" s="181" t="n"/>
    </row>
    <row r="104" ht="18" customHeight="1" s="189">
      <c r="BI104" s="181" t="n"/>
    </row>
    <row r="105" ht="18" customHeight="1" s="189">
      <c r="BI105" s="181" t="n"/>
    </row>
    <row r="106" ht="18" customHeight="1" s="189">
      <c r="BI106" s="181" t="n"/>
    </row>
    <row r="107" ht="18" customHeight="1" s="189">
      <c r="BI107" s="181" t="n"/>
    </row>
    <row r="108" ht="18" customHeight="1" s="189">
      <c r="BI108" s="181" t="n"/>
    </row>
    <row r="109" ht="18" customHeight="1" s="189">
      <c r="BI109" s="181" t="n"/>
    </row>
    <row r="110" ht="18" customHeight="1" s="189">
      <c r="BI110" s="181" t="n"/>
    </row>
    <row r="111" ht="18" customHeight="1" s="189">
      <c r="BI111" s="181" t="n"/>
    </row>
    <row r="112" ht="18" customHeight="1" s="189">
      <c r="BI112" s="181" t="n"/>
    </row>
    <row r="113" ht="18" customHeight="1" s="189">
      <c r="BI113" s="181" t="n"/>
    </row>
    <row r="114" ht="18" customHeight="1" s="189">
      <c r="BI114" s="181" t="n"/>
    </row>
    <row r="115" ht="18" customHeight="1" s="189">
      <c r="BI115" s="181" t="n"/>
    </row>
    <row r="116" ht="18" customHeight="1" s="189">
      <c r="BI116" s="181" t="n"/>
    </row>
    <row r="117" ht="18" customHeight="1" s="189">
      <c r="BI117" s="181" t="n"/>
    </row>
    <row r="118" ht="18" customHeight="1" s="189">
      <c r="BI118" s="181" t="n"/>
    </row>
    <row r="119" ht="18" customHeight="1" s="189">
      <c r="BI119" s="181" t="n"/>
    </row>
    <row r="120" ht="18" customHeight="1" s="189">
      <c r="BI120" s="181" t="n"/>
    </row>
    <row r="121" ht="18" customHeight="1" s="189">
      <c r="BI121" s="181" t="n"/>
    </row>
    <row r="122" ht="18" customHeight="1" s="189">
      <c r="BI122" s="181" t="n"/>
    </row>
    <row r="123" ht="18" customHeight="1" s="189">
      <c r="BI123" s="181" t="n"/>
    </row>
    <row r="124" ht="18" customHeight="1" s="189">
      <c r="BI124" s="181" t="n"/>
    </row>
    <row r="125" ht="18" customHeight="1" s="189">
      <c r="BI125" s="181" t="n"/>
    </row>
    <row r="126" ht="18" customHeight="1" s="189">
      <c r="BI126" s="181" t="n"/>
    </row>
    <row r="127" ht="18" customHeight="1" s="189">
      <c r="BI127" s="181" t="n"/>
    </row>
    <row r="128" ht="18" customHeight="1" s="189">
      <c r="BI128" s="181" t="n"/>
    </row>
    <row r="129" ht="18" customHeight="1" s="189">
      <c r="BI129" s="181" t="n"/>
    </row>
    <row r="130" ht="18" customHeight="1" s="189">
      <c r="BI130" s="181" t="n"/>
    </row>
    <row r="131" ht="18" customHeight="1" s="189">
      <c r="BI131" s="181" t="n"/>
    </row>
    <row r="132" ht="18" customHeight="1" s="189">
      <c r="BI132" s="181" t="n"/>
    </row>
    <row r="133" ht="18" customHeight="1" s="189">
      <c r="BI133" s="181" t="n"/>
    </row>
    <row r="134" ht="18" customHeight="1" s="189">
      <c r="BI134" s="181" t="n"/>
    </row>
    <row r="135" ht="18" customHeight="1" s="189">
      <c r="BI135" s="181" t="n"/>
    </row>
    <row r="136" ht="18" customHeight="1" s="189">
      <c r="BI136" s="181" t="n"/>
    </row>
    <row r="137">
      <c r="BI137" s="181" t="n"/>
    </row>
    <row r="138">
      <c r="BI138" s="181" t="n"/>
    </row>
    <row r="139">
      <c r="BI139" s="181" t="n"/>
    </row>
    <row r="140">
      <c r="BI140" s="181" t="n"/>
    </row>
    <row r="141">
      <c r="BI141" s="181" t="n"/>
    </row>
    <row r="142">
      <c r="BI142" s="181" t="n"/>
    </row>
    <row r="143">
      <c r="BI143" s="181" t="n"/>
    </row>
    <row r="144">
      <c r="BI144" s="181" t="n"/>
    </row>
    <row r="145">
      <c r="BI145" s="181" t="n"/>
    </row>
    <row r="146">
      <c r="BI146" s="181" t="n"/>
    </row>
    <row r="147">
      <c r="BI147" s="181" t="n"/>
    </row>
    <row r="148">
      <c r="BI148" s="181" t="n"/>
    </row>
    <row r="149">
      <c r="BI149" s="181" t="n"/>
    </row>
    <row r="150">
      <c r="BI150" s="181" t="n"/>
    </row>
    <row r="151">
      <c r="BI151" s="181" t="n"/>
    </row>
    <row r="152">
      <c r="BI152" s="181" t="n"/>
    </row>
    <row r="153">
      <c r="BI153" s="181" t="n"/>
    </row>
    <row r="154">
      <c r="BI154" s="181" t="n"/>
    </row>
    <row r="155">
      <c r="BI155" s="181" t="n"/>
    </row>
    <row r="156">
      <c r="BI156" s="181" t="n"/>
    </row>
    <row r="157">
      <c r="BI157" s="181" t="n"/>
    </row>
  </sheetData>
  <autoFilter ref="A11:ED13"/>
  <mergeCells count="14">
    <mergeCell ref="H9:L9"/>
    <mergeCell ref="M9:AC9"/>
    <mergeCell ref="AU9:AZ9"/>
    <mergeCell ref="BB9:BI9"/>
    <mergeCell ref="CB9:CC9"/>
    <mergeCell ref="BJ9:BN9"/>
    <mergeCell ref="AP9:AS9"/>
    <mergeCell ref="CJ9:CK9"/>
    <mergeCell ref="E9:G9"/>
    <mergeCell ref="AD9:AO9"/>
    <mergeCell ref="CD9:CI9"/>
    <mergeCell ref="BU9:CA9"/>
    <mergeCell ref="BO9:BT9"/>
    <mergeCell ref="CL9:CN9"/>
  </mergeCells>
  <pageMargins left="0.7086614173228351" right="0.7086614173228351" top="0.748031496062992" bottom="0.748031496062992" header="0.31496062992126" footer="0.31496062992126"/>
  <pageSetup orientation="landscape" paperSize="8" scale="10" fitToHeight="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36"/>
  <sheetViews>
    <sheetView workbookViewId="0">
      <selection activeCell="E31" sqref="E31"/>
    </sheetView>
  </sheetViews>
  <sheetFormatPr baseColWidth="8" defaultColWidth="9" defaultRowHeight="15"/>
  <cols>
    <col width="12.5714285714286" customWidth="1" style="189" min="2" max="2"/>
    <col width="12.1428571428571" customWidth="1" style="189" min="3" max="3"/>
    <col width="10.1428571428571" customWidth="1" style="189" min="4" max="4"/>
    <col width="9" customWidth="1" style="189" min="7" max="7"/>
    <col width="10.8571428571429" customWidth="1" style="189" min="8" max="8"/>
    <col width="9" customWidth="1" style="189" min="9" max="9"/>
    <col width="10.8571428571429" customWidth="1" style="189" min="10" max="10"/>
    <col width="9.857142857142859" customWidth="1" style="189" min="12" max="12"/>
    <col width="10.8571428571429" customWidth="1" style="189" min="13" max="13"/>
  </cols>
  <sheetData>
    <row r="3">
      <c r="B3" s="226">
        <f>'TOTAL PREORDER'!#REF!</f>
        <v/>
      </c>
      <c r="C3" s="0">
        <f>'TOTAL PREORDER'!#REF!</f>
        <v/>
      </c>
      <c r="D3" s="227">
        <f>B3*C3</f>
        <v/>
      </c>
      <c r="G3" s="227">
        <f>B3-L3</f>
        <v/>
      </c>
      <c r="H3" s="227">
        <f>G3*C3</f>
        <v/>
      </c>
      <c r="I3" s="227">
        <f>B3-N3</f>
        <v/>
      </c>
      <c r="J3" s="227">
        <f>I3*C3</f>
        <v/>
      </c>
      <c r="L3" s="227">
        <f>B3*33.4%</f>
        <v/>
      </c>
      <c r="M3" s="227">
        <f>L3*C3</f>
        <v/>
      </c>
      <c r="N3" s="0" t="n">
        <v>149</v>
      </c>
      <c r="O3" s="0">
        <f>N3*C3</f>
        <v/>
      </c>
    </row>
    <row r="4">
      <c r="B4" s="226">
        <f>'TOTAL PREORDER'!#REF!</f>
        <v/>
      </c>
      <c r="C4" s="0">
        <f>'TOTAL PREORDER'!#REF!</f>
        <v/>
      </c>
      <c r="D4" s="227">
        <f>B4*C4</f>
        <v/>
      </c>
      <c r="G4" s="227">
        <f>B4-L4</f>
        <v/>
      </c>
      <c r="H4" s="227">
        <f>G4*C4</f>
        <v/>
      </c>
      <c r="I4" s="227">
        <f>B4-N4</f>
        <v/>
      </c>
      <c r="J4" s="227">
        <f>I4*C4</f>
        <v/>
      </c>
      <c r="L4" s="227">
        <f>B4*33.4%</f>
        <v/>
      </c>
      <c r="M4" s="227">
        <f>L4*C4</f>
        <v/>
      </c>
      <c r="N4" s="0" t="n">
        <v>173</v>
      </c>
      <c r="O4" s="0">
        <f>N4*C4</f>
        <v/>
      </c>
    </row>
    <row r="5">
      <c r="B5" s="226">
        <f>'TOTAL PREORDER'!#REF!</f>
        <v/>
      </c>
      <c r="C5" s="0">
        <f>'TOTAL PREORDER'!#REF!</f>
        <v/>
      </c>
      <c r="D5" s="227">
        <f>B5*C5</f>
        <v/>
      </c>
      <c r="G5" s="227">
        <f>B5-L5</f>
        <v/>
      </c>
      <c r="H5" s="227">
        <f>G5*C5</f>
        <v/>
      </c>
      <c r="I5" s="227">
        <f>B5-N5</f>
        <v/>
      </c>
      <c r="J5" s="227">
        <f>I5*C5</f>
        <v/>
      </c>
      <c r="L5" s="227">
        <f>B5*33.4%</f>
        <v/>
      </c>
      <c r="M5" s="227">
        <f>L5*C5</f>
        <v/>
      </c>
      <c r="N5" s="0" t="n">
        <v>233</v>
      </c>
      <c r="O5" s="0">
        <f>N5*C5</f>
        <v/>
      </c>
    </row>
    <row r="6">
      <c r="B6" s="226">
        <f>SUM(B3:B5)</f>
        <v/>
      </c>
      <c r="D6" s="227">
        <f>SUM(D3:D5)</f>
        <v/>
      </c>
      <c r="H6" s="227">
        <f>SUM(H3:H5)</f>
        <v/>
      </c>
      <c r="J6" s="227">
        <f>SUM(J3:J5)</f>
        <v/>
      </c>
      <c r="M6" s="227">
        <f>SUM(M3:M5)</f>
        <v/>
      </c>
      <c r="O6" s="0">
        <f>SUM(O3:O5)</f>
        <v/>
      </c>
    </row>
    <row r="10">
      <c r="D10" t="n">
        <v>24.08</v>
      </c>
    </row>
    <row r="11">
      <c r="D11" t="n">
        <v>1.73</v>
      </c>
    </row>
    <row r="12">
      <c r="D12" t="n">
        <v>1.3</v>
      </c>
    </row>
    <row r="13">
      <c r="D13" t="n">
        <v>1.51</v>
      </c>
    </row>
    <row r="14">
      <c r="D14" t="n">
        <v>2.09</v>
      </c>
    </row>
    <row r="15">
      <c r="D15" t="n">
        <v>1.3</v>
      </c>
    </row>
    <row r="16">
      <c r="D16" t="n">
        <v>1.3</v>
      </c>
    </row>
    <row r="17">
      <c r="D17" t="n">
        <v>7.06</v>
      </c>
    </row>
    <row r="18">
      <c r="D18" t="n">
        <v>5.83</v>
      </c>
    </row>
    <row r="19">
      <c r="D19" t="n">
        <v>5.83</v>
      </c>
    </row>
    <row r="20">
      <c r="D20" t="n">
        <v>2.88</v>
      </c>
    </row>
    <row r="21">
      <c r="D21" t="n">
        <v>8.779999999999999</v>
      </c>
    </row>
    <row r="22">
      <c r="D22" t="n">
        <v>8.779999999999999</v>
      </c>
    </row>
    <row r="23">
      <c r="D23" t="n">
        <v>8.779999999999999</v>
      </c>
    </row>
    <row r="24">
      <c r="D24" t="n">
        <v>6.34</v>
      </c>
    </row>
    <row r="25"/>
    <row r="26"/>
    <row r="27"/>
    <row r="28"/>
    <row r="29"/>
    <row r="30"/>
    <row r="31"/>
    <row r="32"/>
    <row r="33">
      <c r="B33" s="70" t="inlineStr">
        <is>
          <t xml:space="preserve">ДОЛИ ФАКТ </t>
        </is>
      </c>
    </row>
    <row r="34">
      <c r="B34" s="71" t="n">
        <v>8003</v>
      </c>
      <c r="C34" s="71" t="n">
        <v>8072</v>
      </c>
    </row>
    <row r="35">
      <c r="B35" s="72" t="n">
        <v>0.666</v>
      </c>
      <c r="C35" s="72" t="n">
        <v>0.334</v>
      </c>
    </row>
    <row r="36">
      <c r="B36" s="73" t="inlineStr">
        <is>
          <t>2 ктк 65м3</t>
        </is>
      </c>
      <c r="C36" s="73" t="inlineStr">
        <is>
          <t>1 ктк 65м3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B19"/>
  <sheetViews>
    <sheetView zoomScale="40" zoomScaleNormal="40" workbookViewId="0">
      <selection activeCell="H23" sqref="H23"/>
    </sheetView>
  </sheetViews>
  <sheetFormatPr baseColWidth="8" defaultColWidth="8.857142857142859" defaultRowHeight="15.75"/>
  <cols>
    <col width="4.42857142857143" customWidth="1" style="2" min="1" max="1"/>
    <col width="14.4285714285714" customWidth="1" style="2" min="2" max="2"/>
    <col width="12.5714285714286" customWidth="1" style="2" min="3" max="3"/>
    <col width="20.1428571428571" customWidth="1" style="2" min="4" max="4"/>
    <col width="13.8571428571429" customWidth="1" style="2" min="5" max="7"/>
    <col width="10.8571428571429" customWidth="1" style="2" min="8" max="8"/>
    <col width="14.1428571428571" customWidth="1" style="2" min="9" max="9"/>
    <col outlineLevel="1" width="13.8571428571429" customWidth="1" style="2" min="10" max="10"/>
    <col width="12.1428571428571" customWidth="1" style="2" min="11" max="11"/>
    <col outlineLevel="1" width="15.5714285714286" customWidth="1" style="2" min="12" max="12"/>
    <col width="15.5714285714286" customWidth="1" style="2" min="13" max="15"/>
    <col width="12.5714285714286" customWidth="1" style="2" min="16" max="16"/>
    <col width="12.1428571428571" customWidth="1" style="3" min="17" max="17"/>
    <col width="16.5714285714286" customWidth="1" style="2" min="18" max="23"/>
    <col width="19.8571428571429" customWidth="1" style="2" min="24" max="24"/>
    <col width="16.5714285714286" customWidth="1" style="2" min="25" max="30"/>
    <col width="19.8571428571429" customWidth="1" style="2" min="31" max="31"/>
    <col outlineLevel="2" width="16" customWidth="1" style="2" min="32" max="32"/>
    <col outlineLevel="2" width="20.8571428571429" customWidth="1" style="2" min="33" max="33"/>
    <col width="8.857142857142859" customWidth="1" style="2" min="34" max="34"/>
    <col width="13.8571428571429" customWidth="1" style="3" min="35" max="35"/>
    <col width="11.1428571428571" customWidth="1" style="3" min="36" max="36"/>
    <col width="15.8571428571429" customWidth="1" style="3" min="37" max="37"/>
    <col width="13.8571428571429" customWidth="1" style="3" min="38" max="38"/>
    <col width="12.1428571428571" customWidth="1" style="3" min="39" max="40"/>
    <col width="10.1428571428571" customWidth="1" style="3" min="41" max="41"/>
    <col width="11.1428571428571" customWidth="1" style="3" min="42" max="44"/>
    <col width="8.857142857142859" customWidth="1" style="3" min="45" max="45"/>
    <col width="8.857142857142859" customWidth="1" style="4" min="46" max="49"/>
    <col width="8.857142857142859" customWidth="1" style="2" min="50" max="16384"/>
  </cols>
  <sheetData>
    <row r="1" ht="30.75" customHeight="1" s="189">
      <c r="B1" s="5" t="inlineStr">
        <is>
          <t>Дата расчета</t>
        </is>
      </c>
      <c r="C1" s="228" t="n"/>
      <c r="D1" s="194" t="n"/>
      <c r="E1" s="3" t="n"/>
      <c r="F1" s="3" t="n"/>
      <c r="G1" s="3" t="n"/>
      <c r="H1" s="3" t="n"/>
      <c r="I1" s="3" t="n"/>
      <c r="J1" s="3" t="n"/>
      <c r="K1" s="3" t="n"/>
      <c r="AI1" s="2" t="n"/>
      <c r="AT1" s="2" t="n"/>
      <c r="AU1" s="2" t="n"/>
      <c r="AV1" s="2" t="n"/>
      <c r="AW1" s="2" t="n"/>
    </row>
    <row r="2" ht="47.25" customHeight="1" s="189">
      <c r="B2" s="8" t="inlineStr">
        <is>
          <t>Валюта</t>
        </is>
      </c>
      <c r="C2" s="9" t="inlineStr">
        <is>
          <t>Фактический ЦБ на дату расчета</t>
        </is>
      </c>
      <c r="D2" s="9" t="inlineStr">
        <is>
          <t>корректированный +7%</t>
        </is>
      </c>
      <c r="E2" s="3" t="n"/>
      <c r="F2" s="3" t="n"/>
      <c r="G2" s="10" t="inlineStr">
        <is>
          <t>Фрахт по маршруту</t>
        </is>
      </c>
      <c r="H2" s="10" t="inlineStr">
        <is>
          <t>до границы</t>
        </is>
      </c>
      <c r="I2" s="194" t="n"/>
      <c r="J2" s="10" t="inlineStr">
        <is>
          <t>после границы</t>
        </is>
      </c>
      <c r="K2" s="194" t="n"/>
      <c r="AT2" s="2" t="n"/>
      <c r="AU2" s="2" t="n"/>
      <c r="AV2" s="2" t="n"/>
      <c r="AW2" s="2" t="n"/>
    </row>
    <row r="3">
      <c r="B3" s="5" t="inlineStr">
        <is>
          <t>USD</t>
        </is>
      </c>
      <c r="C3" s="5" t="n"/>
      <c r="D3" s="11" t="n"/>
      <c r="E3" s="3" t="n"/>
      <c r="F3" s="3" t="n"/>
      <c r="G3" s="12" t="inlineStr">
        <is>
          <t>40HQ</t>
        </is>
      </c>
      <c r="H3" s="229" t="n"/>
      <c r="I3" s="12" t="inlineStr">
        <is>
          <t>USD</t>
        </is>
      </c>
      <c r="J3" s="229" t="n"/>
      <c r="K3" s="12" t="inlineStr">
        <is>
          <t>РУБ</t>
        </is>
      </c>
      <c r="Q3" s="14" t="n"/>
      <c r="AT3" s="2" t="n"/>
      <c r="AU3" s="2" t="n"/>
      <c r="AV3" s="2" t="n"/>
      <c r="AW3" s="2" t="n"/>
    </row>
    <row r="4" ht="16.5" customHeight="1" s="189">
      <c r="B4" s="5" t="inlineStr">
        <is>
          <t>CNY</t>
        </is>
      </c>
      <c r="C4" s="5" t="n"/>
      <c r="D4" s="11" t="n"/>
      <c r="E4" s="3" t="n"/>
      <c r="F4" s="3" t="n"/>
      <c r="G4" s="12" t="inlineStr">
        <is>
          <t>20DC</t>
        </is>
      </c>
      <c r="H4" s="229" t="n"/>
      <c r="I4" s="12" t="inlineStr">
        <is>
          <t>USD</t>
        </is>
      </c>
      <c r="J4" s="229" t="n"/>
      <c r="K4" s="12" t="inlineStr">
        <is>
          <t>РУБ</t>
        </is>
      </c>
      <c r="AT4" s="2" t="n"/>
      <c r="AU4" s="2" t="n"/>
      <c r="AV4" s="2" t="n"/>
      <c r="AW4" s="2" t="n"/>
    </row>
    <row r="5" ht="15.95" customHeight="1" s="189">
      <c r="B5" s="5" t="inlineStr">
        <is>
          <t>EUR</t>
        </is>
      </c>
      <c r="C5" s="5" t="n"/>
      <c r="D5" s="11" t="n"/>
      <c r="E5" s="3" t="n"/>
      <c r="F5" s="3" t="n"/>
      <c r="G5" s="3" t="n"/>
      <c r="H5" s="3" t="n"/>
      <c r="I5" s="3" t="n"/>
      <c r="J5" s="3" t="n"/>
      <c r="K5" s="3" t="n"/>
      <c r="AK5" s="230" t="inlineStr">
        <is>
          <t>Расчет плановой себестоимости партии в рублях</t>
        </is>
      </c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2" t="n"/>
      <c r="AV5" s="2" t="n"/>
      <c r="AW5" s="2" t="n"/>
    </row>
    <row r="6" ht="16.5" customHeight="1" s="189">
      <c r="AI6" s="2" t="n"/>
      <c r="AJ6" s="2" t="n"/>
      <c r="AK6" s="18" t="n"/>
      <c r="AL6" s="193" t="n"/>
      <c r="AM6" s="193" t="n"/>
      <c r="AN6" s="193" t="n"/>
      <c r="AO6" s="193" t="n"/>
      <c r="AP6" s="193" t="n"/>
      <c r="AQ6" s="193" t="n"/>
      <c r="AR6" s="193" t="n"/>
      <c r="AS6" s="193" t="n"/>
      <c r="AT6" s="193" t="n"/>
      <c r="AU6" s="194" t="n"/>
      <c r="AX6" s="4" t="n"/>
      <c r="AY6" s="4" t="n"/>
    </row>
    <row r="7" ht="43.7" customHeight="1" s="189">
      <c r="Q7" s="2" t="n"/>
      <c r="S7" s="233" t="inlineStr">
        <is>
          <t>LOT 1-8003 to Saint-Petersburg (DC8003)</t>
        </is>
      </c>
      <c r="T7" s="234" t="n"/>
      <c r="U7" s="234" t="n"/>
      <c r="V7" s="234" t="n"/>
      <c r="W7" s="234" t="n"/>
      <c r="X7" s="234" t="n"/>
      <c r="Y7" s="234" t="n"/>
      <c r="Z7" s="234" t="n"/>
      <c r="AA7" s="235" t="n"/>
      <c r="AB7" s="233" t="inlineStr">
        <is>
          <t>LOT 2-8003 to Saint-Petersburg (DC8003)</t>
        </is>
      </c>
      <c r="AC7" s="234" t="n"/>
      <c r="AD7" s="234" t="n"/>
      <c r="AE7" s="234" t="n"/>
      <c r="AF7" s="234" t="n"/>
      <c r="AG7" s="234" t="n"/>
      <c r="AH7" s="234" t="n"/>
      <c r="AI7" s="234" t="n"/>
      <c r="AJ7" s="235" t="n"/>
      <c r="AK7" s="2" t="n"/>
      <c r="AL7" s="2" t="n"/>
      <c r="AM7" s="2" t="n"/>
      <c r="AN7" s="18" t="inlineStr">
        <is>
          <t>Стоимость</t>
        </is>
      </c>
      <c r="AO7" s="19" t="inlineStr">
        <is>
          <t>Агент</t>
        </is>
      </c>
      <c r="AP7" s="19" t="inlineStr">
        <is>
          <t>Фрахт</t>
        </is>
      </c>
      <c r="AQ7" s="19" t="inlineStr">
        <is>
          <t>ИТС</t>
        </is>
      </c>
      <c r="AR7" s="19" t="inlineStr">
        <is>
          <t>Пошлина</t>
        </is>
      </c>
      <c r="AS7" s="19" t="inlineStr">
        <is>
          <t>НДС</t>
        </is>
      </c>
      <c r="AT7" s="19" t="inlineStr">
        <is>
          <t>услуги после границы РФ (маркировка, вывоз по РФ, таможенное оформление)</t>
        </is>
      </c>
      <c r="AU7" s="19" t="inlineStr">
        <is>
          <t xml:space="preserve">% ТИ </t>
        </is>
      </c>
      <c r="AV7" s="19" t="inlineStr">
        <is>
          <t>СС на РЦ с НДС</t>
        </is>
      </c>
      <c r="AW7" s="20" t="inlineStr">
        <is>
          <t>План ЗЦ с НДС</t>
        </is>
      </c>
      <c r="AX7" s="21" t="inlineStr">
        <is>
          <t>КВЛ</t>
        </is>
      </c>
      <c r="AY7" s="4" t="n"/>
      <c r="AZ7" s="4" t="n"/>
      <c r="BA7" s="4" t="n"/>
      <c r="BB7" s="4" t="n"/>
    </row>
    <row r="8" ht="45.95" customFormat="1" customHeight="1" s="1">
      <c r="B8" s="25" t="inlineStr">
        <is>
          <t>SAP</t>
        </is>
      </c>
      <c r="C8" s="26" t="inlineStr">
        <is>
          <t>Наименование</t>
        </is>
      </c>
      <c r="D8" s="26" t="inlineStr">
        <is>
          <t>Цена</t>
        </is>
      </c>
      <c r="E8" s="26" t="inlineStr">
        <is>
          <t>Кол-во штук</t>
        </is>
      </c>
      <c r="F8" s="26" t="inlineStr">
        <is>
          <t>Стоимость</t>
        </is>
      </c>
      <c r="G8" s="26" t="inlineStr">
        <is>
          <t>Кратность короба</t>
        </is>
      </c>
      <c r="H8" s="26" t="inlineStr">
        <is>
          <t>Кол-во коробов</t>
        </is>
      </c>
      <c r="I8" s="26" t="inlineStr">
        <is>
          <t>Объем короба</t>
        </is>
      </c>
      <c r="J8" s="26" t="inlineStr">
        <is>
          <t>Общий объем</t>
        </is>
      </c>
      <c r="K8" s="26" t="inlineStr">
        <is>
          <t>Вес нетто короба</t>
        </is>
      </c>
      <c r="L8" s="26" t="inlineStr">
        <is>
          <t>Вес брутто короба</t>
        </is>
      </c>
      <c r="M8" s="26" t="inlineStr">
        <is>
          <t>Общий вес нетто</t>
        </is>
      </c>
      <c r="N8" s="26" t="inlineStr">
        <is>
          <t>Общий вес брутто</t>
        </is>
      </c>
      <c r="O8" s="26" t="inlineStr">
        <is>
          <t>Итого паллет ( при наличии)</t>
        </is>
      </c>
      <c r="P8" s="26" t="inlineStr">
        <is>
          <t>Порт отгрузки</t>
        </is>
      </c>
      <c r="Q8" s="27" t="inlineStr">
        <is>
          <t>ТН ВЭД</t>
        </is>
      </c>
      <c r="R8" s="27" t="n"/>
      <c r="S8" s="28" t="inlineStr">
        <is>
          <t>Кол-во штук</t>
        </is>
      </c>
      <c r="T8" s="29" t="inlineStr">
        <is>
          <t>Стоимость</t>
        </is>
      </c>
      <c r="U8" s="29" t="inlineStr">
        <is>
          <t>Кол-во коробов</t>
        </is>
      </c>
      <c r="V8" s="29" t="inlineStr">
        <is>
          <t>Общий объем</t>
        </is>
      </c>
      <c r="W8" s="29" t="inlineStr">
        <is>
          <t>Общий вес нетто</t>
        </is>
      </c>
      <c r="X8" s="29" t="inlineStr">
        <is>
          <t>Общий вес брутто</t>
        </is>
      </c>
      <c r="Y8" s="29" t="inlineStr">
        <is>
          <t>Итого паллет ( при наличии)</t>
        </is>
      </c>
      <c r="Z8" s="30" t="inlineStr">
        <is>
          <t>ETD</t>
        </is>
      </c>
      <c r="AA8" s="31" t="inlineStr">
        <is>
          <t>Дата на РЦ</t>
        </is>
      </c>
      <c r="AB8" s="28" t="inlineStr">
        <is>
          <t>Кол-во штук</t>
        </is>
      </c>
      <c r="AC8" s="29" t="inlineStr">
        <is>
          <t>Стоимость</t>
        </is>
      </c>
      <c r="AD8" s="29" t="inlineStr">
        <is>
          <t>Кол-во коробов</t>
        </is>
      </c>
      <c r="AE8" s="29" t="inlineStr">
        <is>
          <t>Общий объем</t>
        </is>
      </c>
      <c r="AF8" s="29" t="inlineStr">
        <is>
          <t>Общий вес нетто</t>
        </is>
      </c>
      <c r="AG8" s="29" t="inlineStr">
        <is>
          <t>Общий вес брутто</t>
        </is>
      </c>
      <c r="AH8" s="29" t="inlineStr">
        <is>
          <t>Итого паллет ( при наличии)</t>
        </is>
      </c>
      <c r="AI8" s="30" t="inlineStr">
        <is>
          <t>ETD</t>
        </is>
      </c>
      <c r="AJ8" s="31" t="inlineStr">
        <is>
          <t>Дата на РЦ</t>
        </is>
      </c>
      <c r="AK8" s="32" t="n"/>
      <c r="AL8" s="33" t="n"/>
      <c r="AN8" s="18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20" t="n"/>
      <c r="AX8" s="21" t="n"/>
    </row>
    <row r="9" ht="45.95" customFormat="1" customHeight="1" s="1">
      <c r="B9" s="34" t="inlineStr">
        <is>
          <t>SAP code</t>
        </is>
      </c>
      <c r="C9" s="35" t="inlineStr">
        <is>
          <t>Product name</t>
        </is>
      </c>
      <c r="D9" s="35" t="inlineStr">
        <is>
          <t>Price</t>
        </is>
      </c>
      <c r="E9" s="35" t="inlineStr">
        <is>
          <t>Q-ty</t>
        </is>
      </c>
      <c r="F9" s="35" t="inlineStr">
        <is>
          <t>Amount</t>
        </is>
      </c>
      <c r="G9" s="35" t="inlineStr">
        <is>
          <t>Pcs per carton</t>
        </is>
      </c>
      <c r="H9" s="35" t="inlineStr">
        <is>
          <t>TTL cartons</t>
        </is>
      </c>
      <c r="I9" s="35" t="inlineStr">
        <is>
          <t>Carton CBM</t>
        </is>
      </c>
      <c r="J9" s="35" t="inlineStr">
        <is>
          <t>TTL CBM</t>
        </is>
      </c>
      <c r="K9" s="35" t="inlineStr">
        <is>
          <t>Carton net weight</t>
        </is>
      </c>
      <c r="L9" s="35" t="inlineStr">
        <is>
          <t>Carton gross weight</t>
        </is>
      </c>
      <c r="M9" s="35" t="inlineStr">
        <is>
          <t>TTL net weight</t>
        </is>
      </c>
      <c r="N9" s="35" t="inlineStr">
        <is>
          <t>TTL gross weight</t>
        </is>
      </c>
      <c r="O9" s="35" t="inlineStr">
        <is>
          <t>TTL pallets</t>
        </is>
      </c>
      <c r="P9" s="35" t="inlineStr">
        <is>
          <t>PORT OF LOADING</t>
        </is>
      </c>
      <c r="Q9" s="36" t="inlineStr">
        <is>
          <t>HS CODE</t>
        </is>
      </c>
      <c r="R9" s="36" t="n"/>
      <c r="S9" s="34" t="n"/>
      <c r="T9" s="35" t="n"/>
      <c r="U9" s="35" t="n"/>
      <c r="V9" s="35" t="n"/>
      <c r="W9" s="35" t="n"/>
      <c r="X9" s="35" t="n"/>
      <c r="Y9" s="35" t="n"/>
      <c r="Z9" s="37" t="n"/>
      <c r="AA9" s="38" t="n"/>
      <c r="AB9" s="34" t="n"/>
      <c r="AC9" s="35" t="n"/>
      <c r="AD9" s="35" t="n"/>
      <c r="AE9" s="35" t="n"/>
      <c r="AF9" s="35" t="n"/>
      <c r="AG9" s="35" t="n"/>
      <c r="AH9" s="35" t="n"/>
      <c r="AI9" s="37" t="n"/>
      <c r="AJ9" s="38" t="n"/>
      <c r="AK9" s="39" t="n"/>
      <c r="AL9" s="38" t="n"/>
      <c r="AN9" s="40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2" t="n"/>
      <c r="AX9" s="43" t="n"/>
    </row>
    <row r="10">
      <c r="B10" s="44">
        <f>'TOTAL PREORDER'!D12</f>
        <v/>
      </c>
      <c r="C10" s="45">
        <f>'TOTAL PREORDER'!#REF!</f>
        <v/>
      </c>
      <c r="D10" s="49">
        <f>'TOTAL PREORDER'!AV12</f>
        <v/>
      </c>
      <c r="E10" s="236">
        <f>'TOTAL PREORDER'!BE12</f>
        <v/>
      </c>
      <c r="F10" s="237">
        <f>E10*D10</f>
        <v/>
      </c>
      <c r="G10" s="49">
        <f>'TOTAL PREORDER'!BU12</f>
        <v/>
      </c>
      <c r="H10" s="49">
        <f>E10/G10</f>
        <v/>
      </c>
      <c r="I10" s="49">
        <f>'TOTAL PREORDER'!CA12</f>
        <v/>
      </c>
      <c r="J10" s="49">
        <f>I10*H10</f>
        <v/>
      </c>
      <c r="K10" s="49">
        <f>'TOTAL PREORDER'!#REF!</f>
        <v/>
      </c>
      <c r="L10" s="49">
        <f>'TOTAL PREORDER'!#REF!</f>
        <v/>
      </c>
      <c r="M10" s="49">
        <f>$H10*K10</f>
        <v/>
      </c>
      <c r="N10" s="49">
        <f>$H10*L10</f>
        <v/>
      </c>
      <c r="O10" s="49" t="n"/>
      <c r="P10" s="49">
        <f>'TOTAL PREORDER'!CJ12</f>
        <v/>
      </c>
      <c r="Q10" s="49">
        <f>'TOTAL PREORDER'!H12</f>
        <v/>
      </c>
      <c r="R10" s="49" t="n"/>
      <c r="S10" s="49" t="n"/>
      <c r="T10" s="50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51" t="n"/>
      <c r="AN10" s="52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3" t="n"/>
      <c r="AX10" s="54" t="n"/>
      <c r="AY10" s="4" t="n"/>
      <c r="AZ10" s="4" t="n"/>
    </row>
    <row r="11">
      <c r="B11" s="55">
        <f>'TOTAL PREORDER'!D13</f>
        <v/>
      </c>
      <c r="C11" s="56">
        <f>'TOTAL PREORDER'!W13</f>
        <v/>
      </c>
      <c r="D11" s="56">
        <f>'TOTAL PREORDER'!AV13</f>
        <v/>
      </c>
      <c r="E11" s="56">
        <f>'TOTAL PREORDER'!BE13</f>
        <v/>
      </c>
      <c r="F11" s="56">
        <f>E11*D11</f>
        <v/>
      </c>
      <c r="G11" s="56">
        <f>'TOTAL PREORDER'!BU13</f>
        <v/>
      </c>
      <c r="H11" s="56">
        <f>E11/G11</f>
        <v/>
      </c>
      <c r="I11" s="56">
        <f>'TOTAL PREORDER'!CA13</f>
        <v/>
      </c>
      <c r="J11" s="56">
        <f>I11*H11</f>
        <v/>
      </c>
      <c r="K11" s="56">
        <f>'TOTAL PREORDER'!BY13</f>
        <v/>
      </c>
      <c r="L11" s="56">
        <f>'TOTAL PREORDER'!BZ13</f>
        <v/>
      </c>
      <c r="M11" s="56">
        <f>$H11*K11</f>
        <v/>
      </c>
      <c r="N11" s="56">
        <f>$H11*L11</f>
        <v/>
      </c>
      <c r="O11" s="56" t="n"/>
      <c r="P11" s="56">
        <f>'TOTAL PREORDER'!CJ13</f>
        <v/>
      </c>
      <c r="Q11" s="56">
        <f>'TOTAL PREORDER'!H13</f>
        <v/>
      </c>
      <c r="R11" s="56" t="n"/>
      <c r="S11" s="56" t="n"/>
      <c r="T11" s="5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7" t="n"/>
      <c r="AN11" s="58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9" t="n"/>
      <c r="AX11" s="60" t="n"/>
      <c r="AY11" s="4" t="n"/>
      <c r="AZ11" s="4" t="n"/>
    </row>
    <row r="12">
      <c r="B12" s="55">
        <f>'TOTAL PREORDER'!D14</f>
        <v/>
      </c>
      <c r="C12" s="56">
        <f>'TOTAL PREORDER'!W14</f>
        <v/>
      </c>
      <c r="D12" s="56">
        <f>'TOTAL PREORDER'!AV14</f>
        <v/>
      </c>
      <c r="E12" s="56">
        <f>'TOTAL PREORDER'!BE14</f>
        <v/>
      </c>
      <c r="F12" s="56">
        <f>E12*D12</f>
        <v/>
      </c>
      <c r="G12" s="56">
        <f>'TOTAL PREORDER'!BU14</f>
        <v/>
      </c>
      <c r="H12" s="56">
        <f>E12/G12</f>
        <v/>
      </c>
      <c r="I12" s="56">
        <f>'TOTAL PREORDER'!CA14</f>
        <v/>
      </c>
      <c r="J12" s="56">
        <f>I12*H12</f>
        <v/>
      </c>
      <c r="K12" s="56">
        <f>'TOTAL PREORDER'!BY14</f>
        <v/>
      </c>
      <c r="L12" s="56">
        <f>'TOTAL PREORDER'!BZ14</f>
        <v/>
      </c>
      <c r="M12" s="56">
        <f>$H12*K12</f>
        <v/>
      </c>
      <c r="N12" s="56">
        <f>$H12*L12</f>
        <v/>
      </c>
      <c r="O12" s="56" t="n"/>
      <c r="P12" s="56">
        <f>'TOTAL PREORDER'!CJ14</f>
        <v/>
      </c>
      <c r="Q12" s="56">
        <f>'TOTAL PREORDER'!H14</f>
        <v/>
      </c>
      <c r="R12" s="56" t="n"/>
      <c r="S12" s="56" t="n"/>
      <c r="T12" s="5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7" t="n"/>
      <c r="AN12" s="58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9" t="n"/>
      <c r="AX12" s="60" t="n"/>
      <c r="AY12" s="4" t="n"/>
      <c r="AZ12" s="4" t="n"/>
    </row>
    <row r="13">
      <c r="B13" s="55">
        <f>'TOTAL PREORDER'!D15</f>
        <v/>
      </c>
      <c r="C13" s="56">
        <f>'TOTAL PREORDER'!W15</f>
        <v/>
      </c>
      <c r="D13" s="56">
        <f>'TOTAL PREORDER'!AV15</f>
        <v/>
      </c>
      <c r="E13" s="56">
        <f>'TOTAL PREORDER'!BE15</f>
        <v/>
      </c>
      <c r="F13" s="56">
        <f>E13*D13</f>
        <v/>
      </c>
      <c r="G13" s="56">
        <f>'TOTAL PREORDER'!BU15</f>
        <v/>
      </c>
      <c r="H13" s="56">
        <f>E13/G13</f>
        <v/>
      </c>
      <c r="I13" s="56">
        <f>'TOTAL PREORDER'!CA15</f>
        <v/>
      </c>
      <c r="J13" s="56">
        <f>I13*H13</f>
        <v/>
      </c>
      <c r="K13" s="56">
        <f>'TOTAL PREORDER'!BY15</f>
        <v/>
      </c>
      <c r="L13" s="56">
        <f>'TOTAL PREORDER'!BZ15</f>
        <v/>
      </c>
      <c r="M13" s="56">
        <f>$H13*K13</f>
        <v/>
      </c>
      <c r="N13" s="56">
        <f>$H13*L13</f>
        <v/>
      </c>
      <c r="O13" s="56" t="n"/>
      <c r="P13" s="56">
        <f>'TOTAL PREORDER'!CJ15</f>
        <v/>
      </c>
      <c r="Q13" s="56">
        <f>'TOTAL PREORDER'!H15</f>
        <v/>
      </c>
      <c r="R13" s="56" t="n"/>
      <c r="S13" s="56" t="n"/>
      <c r="T13" s="5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7" t="n"/>
      <c r="AN13" s="58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9" t="n"/>
      <c r="AX13" s="60" t="n"/>
      <c r="AY13" s="4" t="n"/>
      <c r="AZ13" s="4" t="n"/>
    </row>
    <row r="14">
      <c r="B14" s="55">
        <f>'TOTAL PREORDER'!D16</f>
        <v/>
      </c>
      <c r="C14" s="56">
        <f>'TOTAL PREORDER'!W16</f>
        <v/>
      </c>
      <c r="D14" s="56">
        <f>'TOTAL PREORDER'!AV16</f>
        <v/>
      </c>
      <c r="E14" s="56">
        <f>'TOTAL PREORDER'!BE16</f>
        <v/>
      </c>
      <c r="F14" s="56">
        <f>E14*D14</f>
        <v/>
      </c>
      <c r="G14" s="56">
        <f>'TOTAL PREORDER'!BU16</f>
        <v/>
      </c>
      <c r="H14" s="56">
        <f>E14/G14</f>
        <v/>
      </c>
      <c r="I14" s="56">
        <f>'TOTAL PREORDER'!CA16</f>
        <v/>
      </c>
      <c r="J14" s="56">
        <f>I14*H14</f>
        <v/>
      </c>
      <c r="K14" s="56">
        <f>'TOTAL PREORDER'!BY16</f>
        <v/>
      </c>
      <c r="L14" s="56">
        <f>'TOTAL PREORDER'!BZ16</f>
        <v/>
      </c>
      <c r="M14" s="56">
        <f>$H14*K14</f>
        <v/>
      </c>
      <c r="N14" s="56">
        <f>$H14*L14</f>
        <v/>
      </c>
      <c r="O14" s="56" t="n"/>
      <c r="P14" s="56">
        <f>'TOTAL PREORDER'!CJ16</f>
        <v/>
      </c>
      <c r="Q14" s="56">
        <f>'TOTAL PREORDER'!H16</f>
        <v/>
      </c>
      <c r="R14" s="56" t="n"/>
      <c r="S14" s="56" t="n"/>
      <c r="T14" s="5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7" t="n"/>
      <c r="AN14" s="58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9" t="n"/>
      <c r="AX14" s="60" t="n"/>
      <c r="AY14" s="4" t="n"/>
      <c r="AZ14" s="4" t="n"/>
    </row>
    <row r="15">
      <c r="B15" s="55">
        <f>'TOTAL PREORDER'!D17</f>
        <v/>
      </c>
      <c r="C15" s="56">
        <f>'TOTAL PREORDER'!W17</f>
        <v/>
      </c>
      <c r="D15" s="56">
        <f>'TOTAL PREORDER'!AV17</f>
        <v/>
      </c>
      <c r="E15" s="56">
        <f>'TOTAL PREORDER'!BE17</f>
        <v/>
      </c>
      <c r="F15" s="56">
        <f>E15*D15</f>
        <v/>
      </c>
      <c r="G15" s="56">
        <f>'TOTAL PREORDER'!BU17</f>
        <v/>
      </c>
      <c r="H15" s="56">
        <f>E15/G15</f>
        <v/>
      </c>
      <c r="I15" s="56">
        <f>'TOTAL PREORDER'!CA17</f>
        <v/>
      </c>
      <c r="J15" s="56">
        <f>I15*H15</f>
        <v/>
      </c>
      <c r="K15" s="56">
        <f>'TOTAL PREORDER'!BY17</f>
        <v/>
      </c>
      <c r="L15" s="56">
        <f>'TOTAL PREORDER'!BZ17</f>
        <v/>
      </c>
      <c r="M15" s="56">
        <f>$H15*K15</f>
        <v/>
      </c>
      <c r="N15" s="56">
        <f>$H15*L15</f>
        <v/>
      </c>
      <c r="O15" s="56" t="n"/>
      <c r="P15" s="56">
        <f>'TOTAL PREORDER'!CJ17</f>
        <v/>
      </c>
      <c r="Q15" s="56">
        <f>'TOTAL PREORDER'!H17</f>
        <v/>
      </c>
      <c r="R15" s="56" t="n"/>
      <c r="S15" s="56" t="n"/>
      <c r="T15" s="5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7" t="n"/>
      <c r="AN15" s="58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9" t="n"/>
      <c r="AX15" s="60" t="n"/>
      <c r="AY15" s="4" t="n"/>
      <c r="AZ15" s="4" t="n"/>
    </row>
    <row r="16">
      <c r="B16" s="55">
        <f>'TOTAL PREORDER'!D18</f>
        <v/>
      </c>
      <c r="C16" s="56">
        <f>'TOTAL PREORDER'!W12</f>
        <v/>
      </c>
      <c r="D16" s="56">
        <f>'TOTAL PREORDER'!AV18</f>
        <v/>
      </c>
      <c r="E16" s="56">
        <f>'TOTAL PREORDER'!BE18</f>
        <v/>
      </c>
      <c r="F16" s="56">
        <f>E16*D16</f>
        <v/>
      </c>
      <c r="G16" s="56">
        <f>'TOTAL PREORDER'!BU18</f>
        <v/>
      </c>
      <c r="H16" s="56">
        <f>E16/G16</f>
        <v/>
      </c>
      <c r="I16" s="56">
        <f>'TOTAL PREORDER'!CA18</f>
        <v/>
      </c>
      <c r="J16" s="56">
        <f>I16*H16</f>
        <v/>
      </c>
      <c r="K16" s="56">
        <f>'TOTAL PREORDER'!BY18</f>
        <v/>
      </c>
      <c r="L16" s="56">
        <f>'TOTAL PREORDER'!BZ18</f>
        <v/>
      </c>
      <c r="M16" s="56">
        <f>$H16*K16</f>
        <v/>
      </c>
      <c r="N16" s="56">
        <f>$H16*L16</f>
        <v/>
      </c>
      <c r="O16" s="56" t="n"/>
      <c r="P16" s="56">
        <f>'TOTAL PREORDER'!CJ18</f>
        <v/>
      </c>
      <c r="Q16" s="56">
        <f>'TOTAL PREORDER'!H18</f>
        <v/>
      </c>
      <c r="R16" s="56" t="n"/>
      <c r="S16" s="56" t="n"/>
      <c r="T16" s="5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7" t="n"/>
      <c r="AN16" s="58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9" t="n"/>
      <c r="AX16" s="60" t="n"/>
      <c r="AY16" s="4" t="n"/>
      <c r="AZ16" s="4" t="n"/>
    </row>
    <row r="17" ht="16.5" customHeight="1" s="189">
      <c r="B17" s="61">
        <f>'TOTAL PREORDER'!D19</f>
        <v/>
      </c>
      <c r="C17" s="62">
        <f>'TOTAL PREORDER'!W19</f>
        <v/>
      </c>
      <c r="D17" s="62">
        <f>'TOTAL PREORDER'!AV19</f>
        <v/>
      </c>
      <c r="E17" s="62">
        <f>'TOTAL PREORDER'!BE19</f>
        <v/>
      </c>
      <c r="F17" s="62">
        <f>E17*D17</f>
        <v/>
      </c>
      <c r="G17" s="62">
        <f>'TOTAL PREORDER'!BU19</f>
        <v/>
      </c>
      <c r="H17" s="62">
        <f>E17/G17</f>
        <v/>
      </c>
      <c r="I17" s="62">
        <f>'TOTAL PREORDER'!CA19</f>
        <v/>
      </c>
      <c r="J17" s="62">
        <f>I17*H17</f>
        <v/>
      </c>
      <c r="K17" s="62">
        <f>'TOTAL PREORDER'!BY19</f>
        <v/>
      </c>
      <c r="L17" s="62">
        <f>'TOTAL PREORDER'!BZ19</f>
        <v/>
      </c>
      <c r="M17" s="62">
        <f>$H17*K17</f>
        <v/>
      </c>
      <c r="N17" s="62">
        <f>$H17*L17</f>
        <v/>
      </c>
      <c r="O17" s="62" t="n"/>
      <c r="P17" s="62">
        <f>'TOTAL PREORDER'!CJ19</f>
        <v/>
      </c>
      <c r="Q17" s="62">
        <f>'TOTAL PREORDER'!H19</f>
        <v/>
      </c>
      <c r="R17" s="62" t="n"/>
      <c r="S17" s="62" t="n"/>
      <c r="T17" s="63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4" t="n"/>
      <c r="AN17" s="65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6" t="n"/>
      <c r="AX17" s="67" t="n"/>
      <c r="AY17" s="4" t="n"/>
      <c r="AZ17" s="4" t="n"/>
    </row>
    <row r="18">
      <c r="Q18" s="2" t="n"/>
      <c r="S18" s="3" t="n"/>
      <c r="AI18" s="2" t="n"/>
      <c r="AJ18" s="2" t="n"/>
      <c r="AT18" s="3" t="n"/>
      <c r="AU18" s="3" t="n"/>
      <c r="AX18" s="4" t="n"/>
      <c r="AY18" s="4" t="n"/>
    </row>
    <row r="19">
      <c r="Q19" s="2" t="n"/>
      <c r="S19" s="3" t="n"/>
      <c r="AI19" s="2" t="n"/>
      <c r="AJ19" s="2" t="n"/>
      <c r="AT19" s="3" t="n"/>
      <c r="AU19" s="3" t="n"/>
      <c r="AX19" s="4" t="n"/>
      <c r="AY19" s="4" t="n"/>
    </row>
  </sheetData>
  <mergeCells count="7">
    <mergeCell ref="S7:AA7"/>
    <mergeCell ref="H2:I2"/>
    <mergeCell ref="C1:D1"/>
    <mergeCell ref="J2:K2"/>
    <mergeCell ref="AK6:AU6"/>
    <mergeCell ref="AB7:AJ7"/>
    <mergeCell ref="AK5:AU5"/>
  </mergeCells>
  <pageMargins left="0.7086614173228351" right="0.7086614173228351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Клепалова Наталья</dc:creator>
  <dcterms:created xmlns:dcterms="http://purl.org/dc/terms/" xmlns:xsi="http://www.w3.org/2001/XMLSchema-instance" xsi:type="dcterms:W3CDTF">2015-08-12T09:05:00Z</dcterms:created>
  <dcterms:modified xmlns:dcterms="http://purl.org/dc/terms/" xmlns:xsi="http://www.w3.org/2001/XMLSchema-instance" xsi:type="dcterms:W3CDTF">2026-04-01T08:52:43Z</dcterms:modified>
  <cp:lastModifiedBy>yh-Gray李沿</cp:lastModifiedBy>
  <cp:lastPrinted>2015-11-16T07:25:00Z</cp:lastPrinted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200506 Yuyao Yirong Snow sleds AW20  .xlsx</vt:lpwstr>
  </property>
  <property name="KSOProductBuildVer" fmtid="{D5CDD505-2E9C-101B-9397-08002B2CF9AE}" pid="3">
    <vt:lpwstr xmlns:vt="http://schemas.openxmlformats.org/officeDocument/2006/docPropsVTypes">2052-12.1.0.24034</vt:lpwstr>
  </property>
  <property name="ICV" fmtid="{D5CDD505-2E9C-101B-9397-08002B2CF9AE}" pid="4">
    <vt:lpwstr xmlns:vt="http://schemas.openxmlformats.org/officeDocument/2006/docPropsVTypes">E681A5DF4A624840B2E044D07E1E1173_13</vt:lpwstr>
  </property>
  <property name="CalculationRule" fmtid="{D5CDD505-2E9C-101B-9397-08002B2CF9AE}" pid="5">
    <vt:i4 xmlns:vt="http://schemas.openxmlformats.org/officeDocument/2006/docPropsVTypes">0</vt:i4>
  </property>
</Properties>
</file>